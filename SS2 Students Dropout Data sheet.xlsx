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NE\Desktop\"/>
    </mc:Choice>
  </mc:AlternateContent>
  <xr:revisionPtr revIDLastSave="0" documentId="13_ncr:1_{E6DA9C21-8118-4FB2-8AAC-E15791B33B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Sheet1!$P$1:$P$635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M3" i="1" a="1"/>
  <c r="M3" i="1" s="1"/>
  <c r="J3" i="1" a="1"/>
  <c r="J3" i="1" s="1"/>
  <c r="J2" i="1" a="1"/>
  <c r="J2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/>
  <c r="J622" i="1" a="1"/>
  <c r="J622" i="1" s="1"/>
  <c r="J623" i="1" a="1"/>
  <c r="J623" i="1" s="1"/>
  <c r="J624" i="1" a="1"/>
  <c r="J624" i="1" s="1"/>
  <c r="J625" i="1" a="1"/>
  <c r="J625" i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O2" i="1" a="1"/>
  <c r="O2" i="1" s="1"/>
  <c r="O3" i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464" i="1" a="1"/>
  <c r="O464" i="1" s="1"/>
  <c r="O465" i="1" a="1"/>
  <c r="O465" i="1" s="1"/>
  <c r="O466" i="1" a="1"/>
  <c r="O466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84" i="1" a="1"/>
  <c r="O484" i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6" i="1" a="1"/>
  <c r="O496" i="1" s="1"/>
  <c r="O497" i="1" a="1"/>
  <c r="O497" i="1" s="1"/>
  <c r="O498" i="1" a="1"/>
  <c r="O498" i="1" s="1"/>
  <c r="O499" i="1" a="1"/>
  <c r="O499" i="1" s="1"/>
  <c r="O500" i="1" a="1"/>
  <c r="O500" i="1" s="1"/>
  <c r="O501" i="1" a="1"/>
  <c r="O501" i="1" s="1"/>
  <c r="O502" i="1" a="1"/>
  <c r="O502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0" i="1" a="1"/>
  <c r="O510" i="1" s="1"/>
  <c r="O511" i="1" a="1"/>
  <c r="O511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 s="1"/>
  <c r="O531" i="1" a="1"/>
  <c r="O531" i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557" i="1" a="1"/>
  <c r="O557" i="1" s="1"/>
  <c r="O558" i="1" a="1"/>
  <c r="O558" i="1" s="1"/>
  <c r="O559" i="1" a="1"/>
  <c r="O559" i="1" s="1"/>
  <c r="O560" i="1" a="1"/>
  <c r="O560" i="1" s="1"/>
  <c r="O561" i="1" a="1"/>
  <c r="O561" i="1" s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O569" i="1" a="1"/>
  <c r="O569" i="1" s="1"/>
  <c r="O570" i="1" a="1"/>
  <c r="O570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587" i="1" a="1"/>
  <c r="O587" i="1" s="1"/>
  <c r="O588" i="1" a="1"/>
  <c r="O588" i="1" s="1"/>
  <c r="O589" i="1" a="1"/>
  <c r="O589" i="1" s="1"/>
  <c r="O590" i="1" a="1"/>
  <c r="O590" i="1" s="1"/>
  <c r="O591" i="1" a="1"/>
  <c r="O591" i="1" s="1"/>
  <c r="O592" i="1" a="1"/>
  <c r="O592" i="1" s="1"/>
  <c r="O593" i="1" a="1"/>
  <c r="O593" i="1" s="1"/>
  <c r="O594" i="1" a="1"/>
  <c r="O594" i="1" s="1"/>
  <c r="O595" i="1" a="1"/>
  <c r="O595" i="1"/>
  <c r="O596" i="1" a="1"/>
  <c r="O596" i="1" s="1"/>
  <c r="O597" i="1" a="1"/>
  <c r="O597" i="1" s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O622" i="1" a="1"/>
  <c r="O622" i="1" s="1"/>
  <c r="O623" i="1" a="1"/>
  <c r="O623" i="1" s="1"/>
  <c r="O624" i="1" a="1"/>
  <c r="O624" i="1" s="1"/>
  <c r="O625" i="1" a="1"/>
  <c r="O625" i="1" s="1"/>
  <c r="O626" i="1" a="1"/>
  <c r="O626" i="1" s="1"/>
  <c r="O627" i="1" a="1"/>
  <c r="O627" i="1" s="1"/>
  <c r="O628" i="1" a="1"/>
  <c r="O628" i="1" s="1"/>
  <c r="O629" i="1" a="1"/>
  <c r="O629" i="1" s="1"/>
  <c r="O630" i="1" a="1"/>
  <c r="O630" i="1" s="1"/>
  <c r="O631" i="1" a="1"/>
  <c r="O631" i="1" s="1"/>
  <c r="O632" i="1" a="1"/>
  <c r="O632" i="1" s="1"/>
  <c r="O633" i="1" a="1"/>
  <c r="O633" i="1" s="1"/>
  <c r="O634" i="1" a="1"/>
  <c r="O634" i="1" s="1"/>
  <c r="O635" i="1" a="1"/>
  <c r="O635" i="1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P635" i="1"/>
  <c r="L635" i="1"/>
  <c r="M635" i="1" s="1" a="1"/>
  <c r="M635" i="1" s="1"/>
  <c r="P634" i="1"/>
  <c r="L634" i="1"/>
  <c r="M634" i="1" s="1" a="1"/>
  <c r="M634" i="1" s="1"/>
  <c r="P633" i="1"/>
  <c r="L633" i="1"/>
  <c r="M633" i="1" s="1" a="1"/>
  <c r="M633" i="1" s="1"/>
  <c r="P632" i="1"/>
  <c r="L632" i="1"/>
  <c r="M632" i="1" s="1" a="1"/>
  <c r="M632" i="1" s="1"/>
  <c r="P631" i="1"/>
  <c r="L631" i="1"/>
  <c r="M631" i="1" s="1" a="1"/>
  <c r="M631" i="1" s="1"/>
  <c r="P630" i="1"/>
  <c r="L630" i="1"/>
  <c r="M630" i="1" s="1" a="1"/>
  <c r="M630" i="1" s="1"/>
  <c r="P629" i="1"/>
  <c r="L629" i="1"/>
  <c r="M629" i="1" s="1" a="1"/>
  <c r="M629" i="1" s="1"/>
  <c r="P628" i="1"/>
  <c r="L628" i="1"/>
  <c r="M628" i="1" s="1" a="1"/>
  <c r="M628" i="1" s="1"/>
  <c r="P627" i="1"/>
  <c r="L627" i="1"/>
  <c r="M627" i="1" s="1" a="1"/>
  <c r="M627" i="1" s="1"/>
  <c r="P626" i="1"/>
  <c r="L626" i="1"/>
  <c r="M626" i="1" s="1" a="1"/>
  <c r="M626" i="1" s="1"/>
  <c r="P625" i="1"/>
  <c r="L625" i="1"/>
  <c r="M625" i="1" s="1" a="1"/>
  <c r="M625" i="1" s="1"/>
  <c r="P624" i="1"/>
  <c r="L624" i="1"/>
  <c r="M624" i="1" s="1" a="1"/>
  <c r="M624" i="1" s="1"/>
  <c r="P623" i="1"/>
  <c r="L623" i="1"/>
  <c r="M623" i="1" s="1" a="1"/>
  <c r="M623" i="1" s="1"/>
  <c r="P622" i="1"/>
  <c r="L622" i="1"/>
  <c r="M622" i="1" s="1" a="1"/>
  <c r="M622" i="1" s="1"/>
  <c r="P621" i="1"/>
  <c r="L621" i="1"/>
  <c r="M621" i="1" s="1" a="1"/>
  <c r="M621" i="1" s="1"/>
  <c r="P620" i="1"/>
  <c r="L620" i="1"/>
  <c r="M620" i="1" s="1" a="1"/>
  <c r="M620" i="1" s="1"/>
  <c r="P619" i="1"/>
  <c r="L619" i="1"/>
  <c r="M619" i="1" s="1" a="1"/>
  <c r="M619" i="1" s="1"/>
  <c r="P618" i="1"/>
  <c r="L618" i="1"/>
  <c r="M618" i="1" s="1" a="1"/>
  <c r="M618" i="1" s="1"/>
  <c r="P617" i="1"/>
  <c r="L617" i="1"/>
  <c r="M617" i="1" s="1" a="1"/>
  <c r="M617" i="1" s="1"/>
  <c r="P616" i="1"/>
  <c r="L616" i="1"/>
  <c r="M616" i="1" s="1" a="1"/>
  <c r="M616" i="1" s="1"/>
  <c r="P615" i="1"/>
  <c r="L615" i="1"/>
  <c r="M615" i="1" s="1" a="1"/>
  <c r="M615" i="1" s="1"/>
  <c r="P614" i="1"/>
  <c r="L614" i="1"/>
  <c r="M614" i="1" s="1" a="1"/>
  <c r="M614" i="1" s="1"/>
  <c r="P613" i="1"/>
  <c r="L613" i="1"/>
  <c r="M613" i="1" s="1" a="1"/>
  <c r="M613" i="1" s="1"/>
  <c r="P612" i="1"/>
  <c r="L612" i="1"/>
  <c r="M612" i="1" s="1" a="1"/>
  <c r="M612" i="1" s="1"/>
  <c r="P611" i="1"/>
  <c r="L611" i="1"/>
  <c r="M611" i="1" s="1" a="1"/>
  <c r="M611" i="1" s="1"/>
  <c r="P610" i="1"/>
  <c r="L610" i="1"/>
  <c r="M610" i="1" s="1" a="1"/>
  <c r="M610" i="1" s="1"/>
  <c r="P609" i="1"/>
  <c r="L609" i="1"/>
  <c r="M609" i="1" s="1" a="1"/>
  <c r="M609" i="1" s="1"/>
  <c r="P608" i="1"/>
  <c r="L608" i="1"/>
  <c r="M608" i="1" s="1" a="1"/>
  <c r="M608" i="1" s="1"/>
  <c r="P607" i="1"/>
  <c r="L607" i="1"/>
  <c r="M607" i="1" s="1" a="1"/>
  <c r="M607" i="1" s="1"/>
  <c r="P606" i="1"/>
  <c r="L606" i="1"/>
  <c r="M606" i="1" s="1" a="1"/>
  <c r="M606" i="1" s="1"/>
  <c r="P605" i="1"/>
  <c r="L605" i="1"/>
  <c r="M605" i="1" s="1" a="1"/>
  <c r="M605" i="1" s="1"/>
  <c r="P604" i="1"/>
  <c r="L604" i="1"/>
  <c r="M604" i="1" s="1" a="1"/>
  <c r="M604" i="1" s="1"/>
  <c r="P603" i="1"/>
  <c r="L603" i="1"/>
  <c r="M603" i="1" s="1" a="1"/>
  <c r="M603" i="1" s="1"/>
  <c r="P602" i="1"/>
  <c r="L602" i="1"/>
  <c r="M602" i="1" s="1" a="1"/>
  <c r="M602" i="1" s="1"/>
  <c r="P601" i="1"/>
  <c r="L601" i="1"/>
  <c r="M601" i="1" s="1" a="1"/>
  <c r="M601" i="1" s="1"/>
  <c r="P600" i="1"/>
  <c r="L600" i="1"/>
  <c r="M600" i="1" s="1" a="1"/>
  <c r="M600" i="1" s="1"/>
  <c r="P599" i="1"/>
  <c r="L599" i="1"/>
  <c r="M599" i="1" s="1" a="1"/>
  <c r="M599" i="1" s="1"/>
  <c r="P598" i="1"/>
  <c r="L598" i="1"/>
  <c r="M598" i="1" s="1" a="1"/>
  <c r="M598" i="1" s="1"/>
  <c r="P597" i="1"/>
  <c r="L597" i="1"/>
  <c r="M597" i="1" s="1" a="1"/>
  <c r="M597" i="1" s="1"/>
  <c r="P596" i="1"/>
  <c r="L596" i="1"/>
  <c r="M596" i="1" s="1" a="1"/>
  <c r="M596" i="1" s="1"/>
  <c r="P595" i="1"/>
  <c r="L595" i="1"/>
  <c r="M595" i="1" s="1" a="1"/>
  <c r="M595" i="1" s="1"/>
  <c r="P594" i="1"/>
  <c r="L594" i="1"/>
  <c r="M594" i="1" s="1" a="1"/>
  <c r="M594" i="1" s="1"/>
  <c r="P593" i="1"/>
  <c r="L593" i="1"/>
  <c r="M593" i="1" s="1" a="1"/>
  <c r="M593" i="1" s="1"/>
  <c r="P592" i="1"/>
  <c r="L592" i="1"/>
  <c r="M592" i="1" s="1" a="1"/>
  <c r="M592" i="1" s="1"/>
  <c r="P591" i="1"/>
  <c r="L591" i="1"/>
  <c r="M591" i="1" s="1" a="1"/>
  <c r="M591" i="1" s="1"/>
  <c r="P590" i="1"/>
  <c r="L590" i="1"/>
  <c r="M590" i="1" s="1" a="1"/>
  <c r="M590" i="1" s="1"/>
  <c r="P589" i="1"/>
  <c r="L589" i="1"/>
  <c r="M589" i="1" s="1" a="1"/>
  <c r="M589" i="1" s="1"/>
  <c r="P588" i="1"/>
  <c r="L588" i="1"/>
  <c r="M588" i="1" s="1" a="1"/>
  <c r="M588" i="1" s="1"/>
  <c r="P587" i="1"/>
  <c r="L587" i="1"/>
  <c r="M587" i="1" s="1" a="1"/>
  <c r="M587" i="1" s="1"/>
  <c r="P586" i="1"/>
  <c r="L586" i="1"/>
  <c r="M586" i="1" s="1" a="1"/>
  <c r="M586" i="1" s="1"/>
  <c r="P585" i="1"/>
  <c r="L585" i="1"/>
  <c r="M585" i="1" s="1" a="1"/>
  <c r="M585" i="1" s="1"/>
  <c r="P584" i="1"/>
  <c r="L584" i="1"/>
  <c r="M584" i="1" s="1" a="1"/>
  <c r="M584" i="1" s="1"/>
  <c r="P583" i="1"/>
  <c r="L583" i="1"/>
  <c r="M583" i="1" s="1" a="1"/>
  <c r="M583" i="1" s="1"/>
  <c r="P582" i="1"/>
  <c r="L582" i="1"/>
  <c r="M582" i="1" s="1" a="1"/>
  <c r="M582" i="1" s="1"/>
  <c r="P581" i="1"/>
  <c r="L581" i="1"/>
  <c r="M581" i="1" s="1" a="1"/>
  <c r="M581" i="1" s="1"/>
  <c r="P580" i="1"/>
  <c r="L580" i="1"/>
  <c r="M580" i="1" s="1" a="1"/>
  <c r="M580" i="1" s="1"/>
  <c r="P579" i="1"/>
  <c r="L579" i="1"/>
  <c r="M579" i="1" s="1" a="1"/>
  <c r="M579" i="1" s="1"/>
  <c r="P578" i="1"/>
  <c r="L578" i="1"/>
  <c r="M578" i="1" s="1" a="1"/>
  <c r="M578" i="1" s="1"/>
  <c r="P577" i="1"/>
  <c r="L577" i="1"/>
  <c r="M577" i="1" s="1" a="1"/>
  <c r="M577" i="1" s="1"/>
  <c r="P576" i="1"/>
  <c r="L576" i="1"/>
  <c r="M576" i="1" s="1" a="1"/>
  <c r="M576" i="1" s="1"/>
  <c r="P575" i="1"/>
  <c r="L575" i="1"/>
  <c r="M575" i="1" s="1" a="1"/>
  <c r="M575" i="1" s="1"/>
  <c r="P574" i="1"/>
  <c r="L574" i="1"/>
  <c r="M574" i="1" s="1" a="1"/>
  <c r="M574" i="1" s="1"/>
  <c r="P573" i="1"/>
  <c r="L573" i="1"/>
  <c r="M573" i="1" s="1" a="1"/>
  <c r="M573" i="1" s="1"/>
  <c r="P572" i="1"/>
  <c r="L572" i="1"/>
  <c r="M572" i="1" s="1" a="1"/>
  <c r="M572" i="1" s="1"/>
  <c r="P571" i="1"/>
  <c r="L571" i="1"/>
  <c r="M571" i="1" s="1" a="1"/>
  <c r="M571" i="1" s="1"/>
  <c r="P570" i="1"/>
  <c r="L570" i="1"/>
  <c r="M570" i="1" s="1" a="1"/>
  <c r="M570" i="1" s="1"/>
  <c r="P569" i="1"/>
  <c r="L569" i="1"/>
  <c r="M569" i="1" s="1" a="1"/>
  <c r="M569" i="1" s="1"/>
  <c r="P568" i="1"/>
  <c r="L568" i="1"/>
  <c r="M568" i="1" s="1" a="1"/>
  <c r="M568" i="1" s="1"/>
  <c r="P567" i="1"/>
  <c r="L567" i="1"/>
  <c r="M567" i="1" s="1" a="1"/>
  <c r="M567" i="1" s="1"/>
  <c r="P566" i="1"/>
  <c r="L566" i="1"/>
  <c r="M566" i="1" s="1" a="1"/>
  <c r="M566" i="1" s="1"/>
  <c r="P565" i="1"/>
  <c r="L565" i="1"/>
  <c r="M565" i="1" s="1" a="1"/>
  <c r="M565" i="1" s="1"/>
  <c r="P564" i="1"/>
  <c r="L564" i="1"/>
  <c r="M564" i="1" s="1" a="1"/>
  <c r="M564" i="1" s="1"/>
  <c r="P563" i="1"/>
  <c r="L563" i="1"/>
  <c r="M563" i="1" s="1" a="1"/>
  <c r="M563" i="1" s="1"/>
  <c r="P562" i="1"/>
  <c r="L562" i="1"/>
  <c r="M562" i="1" s="1" a="1"/>
  <c r="M562" i="1" s="1"/>
  <c r="P561" i="1"/>
  <c r="L561" i="1"/>
  <c r="M561" i="1" s="1" a="1"/>
  <c r="M561" i="1" s="1"/>
  <c r="P560" i="1"/>
  <c r="L560" i="1"/>
  <c r="M560" i="1" s="1" a="1"/>
  <c r="M560" i="1" s="1"/>
  <c r="P559" i="1"/>
  <c r="L559" i="1"/>
  <c r="M559" i="1" s="1" a="1"/>
  <c r="M559" i="1" s="1"/>
  <c r="P558" i="1"/>
  <c r="L558" i="1"/>
  <c r="M558" i="1" s="1" a="1"/>
  <c r="M558" i="1" s="1"/>
  <c r="P557" i="1"/>
  <c r="L557" i="1"/>
  <c r="M557" i="1" s="1" a="1"/>
  <c r="M557" i="1" s="1"/>
  <c r="P556" i="1"/>
  <c r="L556" i="1"/>
  <c r="M556" i="1" s="1" a="1"/>
  <c r="M556" i="1" s="1"/>
  <c r="P555" i="1"/>
  <c r="L555" i="1"/>
  <c r="M555" i="1" s="1" a="1"/>
  <c r="M555" i="1" s="1"/>
  <c r="P554" i="1"/>
  <c r="L554" i="1"/>
  <c r="M554" i="1" s="1" a="1"/>
  <c r="M554" i="1" s="1"/>
  <c r="P553" i="1"/>
  <c r="L553" i="1"/>
  <c r="M553" i="1" s="1" a="1"/>
  <c r="M553" i="1" s="1"/>
  <c r="P552" i="1"/>
  <c r="L552" i="1"/>
  <c r="M552" i="1" s="1" a="1"/>
  <c r="M552" i="1" s="1"/>
  <c r="P551" i="1"/>
  <c r="L551" i="1"/>
  <c r="M551" i="1" s="1" a="1"/>
  <c r="M551" i="1" s="1"/>
  <c r="P550" i="1"/>
  <c r="L550" i="1"/>
  <c r="M550" i="1" s="1" a="1"/>
  <c r="M550" i="1" s="1"/>
  <c r="P549" i="1"/>
  <c r="L549" i="1"/>
  <c r="M549" i="1" s="1" a="1"/>
  <c r="M549" i="1" s="1"/>
  <c r="P548" i="1"/>
  <c r="L548" i="1"/>
  <c r="M548" i="1" s="1" a="1"/>
  <c r="M548" i="1" s="1"/>
  <c r="P547" i="1"/>
  <c r="L547" i="1"/>
  <c r="M547" i="1" s="1" a="1"/>
  <c r="M547" i="1" s="1"/>
  <c r="P546" i="1"/>
  <c r="L546" i="1"/>
  <c r="M546" i="1" s="1" a="1"/>
  <c r="M546" i="1" s="1"/>
  <c r="P545" i="1"/>
  <c r="L545" i="1"/>
  <c r="M545" i="1" s="1" a="1"/>
  <c r="M545" i="1" s="1"/>
  <c r="P544" i="1"/>
  <c r="L544" i="1"/>
  <c r="M544" i="1" s="1" a="1"/>
  <c r="M544" i="1" s="1"/>
  <c r="P543" i="1"/>
  <c r="L543" i="1"/>
  <c r="M543" i="1" s="1" a="1"/>
  <c r="M543" i="1" s="1"/>
  <c r="P542" i="1"/>
  <c r="L542" i="1"/>
  <c r="M542" i="1" s="1" a="1"/>
  <c r="M542" i="1" s="1"/>
  <c r="P541" i="1"/>
  <c r="L541" i="1"/>
  <c r="M541" i="1" s="1" a="1"/>
  <c r="M541" i="1" s="1"/>
  <c r="P540" i="1"/>
  <c r="L540" i="1"/>
  <c r="M540" i="1" s="1" a="1"/>
  <c r="M540" i="1" s="1"/>
  <c r="P539" i="1"/>
  <c r="L539" i="1"/>
  <c r="M539" i="1" s="1" a="1"/>
  <c r="M539" i="1" s="1"/>
  <c r="P538" i="1"/>
  <c r="L538" i="1"/>
  <c r="M538" i="1" s="1" a="1"/>
  <c r="M538" i="1" s="1"/>
  <c r="P537" i="1"/>
  <c r="L537" i="1"/>
  <c r="M537" i="1" s="1" a="1"/>
  <c r="M537" i="1" s="1"/>
  <c r="P536" i="1"/>
  <c r="L536" i="1"/>
  <c r="M536" i="1" s="1" a="1"/>
  <c r="M536" i="1" s="1"/>
  <c r="P535" i="1"/>
  <c r="L535" i="1"/>
  <c r="M535" i="1" s="1" a="1"/>
  <c r="M535" i="1" s="1"/>
  <c r="P534" i="1"/>
  <c r="L534" i="1"/>
  <c r="M534" i="1" s="1" a="1"/>
  <c r="M534" i="1" s="1"/>
  <c r="P533" i="1"/>
  <c r="L533" i="1"/>
  <c r="M533" i="1" s="1" a="1"/>
  <c r="M533" i="1" s="1"/>
  <c r="P532" i="1"/>
  <c r="L532" i="1"/>
  <c r="M532" i="1" s="1" a="1"/>
  <c r="M532" i="1" s="1"/>
  <c r="P531" i="1"/>
  <c r="L531" i="1"/>
  <c r="M531" i="1" s="1" a="1"/>
  <c r="M531" i="1" s="1"/>
  <c r="P530" i="1"/>
  <c r="L530" i="1"/>
  <c r="M530" i="1" s="1" a="1"/>
  <c r="M530" i="1" s="1"/>
  <c r="P529" i="1"/>
  <c r="L529" i="1"/>
  <c r="M529" i="1" s="1" a="1"/>
  <c r="M529" i="1" s="1"/>
  <c r="P528" i="1"/>
  <c r="L528" i="1"/>
  <c r="M528" i="1" s="1" a="1"/>
  <c r="M528" i="1" s="1"/>
  <c r="P527" i="1"/>
  <c r="L527" i="1"/>
  <c r="M527" i="1" s="1" a="1"/>
  <c r="M527" i="1" s="1"/>
  <c r="P526" i="1"/>
  <c r="L526" i="1"/>
  <c r="M526" i="1" s="1" a="1"/>
  <c r="M526" i="1" s="1"/>
  <c r="P525" i="1"/>
  <c r="L525" i="1"/>
  <c r="M525" i="1" s="1" a="1"/>
  <c r="M525" i="1" s="1"/>
  <c r="P524" i="1"/>
  <c r="L524" i="1"/>
  <c r="M524" i="1" s="1" a="1"/>
  <c r="M524" i="1" s="1"/>
  <c r="P523" i="1"/>
  <c r="L523" i="1"/>
  <c r="M523" i="1" s="1" a="1"/>
  <c r="M523" i="1" s="1"/>
  <c r="P522" i="1"/>
  <c r="L522" i="1"/>
  <c r="M522" i="1" s="1" a="1"/>
  <c r="M522" i="1" s="1"/>
  <c r="P521" i="1"/>
  <c r="L521" i="1"/>
  <c r="M521" i="1" s="1" a="1"/>
  <c r="M521" i="1" s="1"/>
  <c r="P520" i="1"/>
  <c r="L520" i="1"/>
  <c r="M520" i="1" s="1" a="1"/>
  <c r="M520" i="1" s="1"/>
  <c r="P519" i="1"/>
  <c r="L519" i="1"/>
  <c r="M519" i="1" s="1" a="1"/>
  <c r="M519" i="1" s="1"/>
  <c r="P518" i="1"/>
  <c r="L518" i="1"/>
  <c r="M518" i="1" s="1" a="1"/>
  <c r="M518" i="1" s="1"/>
  <c r="P517" i="1"/>
  <c r="L517" i="1"/>
  <c r="M517" i="1" s="1" a="1"/>
  <c r="M517" i="1" s="1"/>
  <c r="P516" i="1"/>
  <c r="L516" i="1"/>
  <c r="M516" i="1" s="1" a="1"/>
  <c r="M516" i="1" s="1"/>
  <c r="P515" i="1"/>
  <c r="L515" i="1"/>
  <c r="M515" i="1" s="1" a="1"/>
  <c r="M515" i="1" s="1"/>
  <c r="P514" i="1"/>
  <c r="L514" i="1"/>
  <c r="M514" i="1" s="1" a="1"/>
  <c r="M514" i="1" s="1"/>
  <c r="P513" i="1"/>
  <c r="L513" i="1"/>
  <c r="M513" i="1" s="1" a="1"/>
  <c r="M513" i="1" s="1"/>
  <c r="P512" i="1"/>
  <c r="L512" i="1"/>
  <c r="M512" i="1" s="1" a="1"/>
  <c r="M512" i="1" s="1"/>
  <c r="P511" i="1"/>
  <c r="L511" i="1"/>
  <c r="M511" i="1" s="1" a="1"/>
  <c r="M511" i="1" s="1"/>
  <c r="P510" i="1"/>
  <c r="L510" i="1"/>
  <c r="M510" i="1" s="1" a="1"/>
  <c r="M510" i="1" s="1"/>
  <c r="P509" i="1"/>
  <c r="L509" i="1"/>
  <c r="M509" i="1" s="1" a="1"/>
  <c r="M509" i="1" s="1"/>
  <c r="P508" i="1"/>
  <c r="L508" i="1"/>
  <c r="M508" i="1" s="1" a="1"/>
  <c r="M508" i="1" s="1"/>
  <c r="P507" i="1"/>
  <c r="L507" i="1"/>
  <c r="M507" i="1" s="1" a="1"/>
  <c r="M507" i="1" s="1"/>
  <c r="P506" i="1"/>
  <c r="L506" i="1"/>
  <c r="M506" i="1" s="1" a="1"/>
  <c r="M506" i="1" s="1"/>
  <c r="P505" i="1"/>
  <c r="L505" i="1"/>
  <c r="M505" i="1" s="1" a="1"/>
  <c r="M505" i="1" s="1"/>
  <c r="P504" i="1"/>
  <c r="L504" i="1"/>
  <c r="M504" i="1" s="1" a="1"/>
  <c r="M504" i="1" s="1"/>
  <c r="P503" i="1"/>
  <c r="L503" i="1"/>
  <c r="M503" i="1" s="1" a="1"/>
  <c r="M503" i="1" s="1"/>
  <c r="P502" i="1"/>
  <c r="L502" i="1"/>
  <c r="M502" i="1" s="1" a="1"/>
  <c r="M502" i="1" s="1"/>
  <c r="P501" i="1"/>
  <c r="L501" i="1"/>
  <c r="M501" i="1" s="1" a="1"/>
  <c r="M501" i="1" s="1"/>
  <c r="P500" i="1"/>
  <c r="L500" i="1"/>
  <c r="M500" i="1" s="1" a="1"/>
  <c r="M500" i="1" s="1"/>
  <c r="P499" i="1"/>
  <c r="L499" i="1"/>
  <c r="M499" i="1" s="1" a="1"/>
  <c r="M499" i="1" s="1"/>
  <c r="P498" i="1"/>
  <c r="L498" i="1"/>
  <c r="M498" i="1" s="1" a="1"/>
  <c r="M498" i="1" s="1"/>
  <c r="P497" i="1"/>
  <c r="L497" i="1"/>
  <c r="M497" i="1" s="1" a="1"/>
  <c r="M497" i="1" s="1"/>
  <c r="P496" i="1"/>
  <c r="L496" i="1"/>
  <c r="M496" i="1" s="1" a="1"/>
  <c r="M496" i="1" s="1"/>
  <c r="P495" i="1"/>
  <c r="L495" i="1"/>
  <c r="M495" i="1" s="1" a="1"/>
  <c r="M495" i="1" s="1"/>
  <c r="P494" i="1"/>
  <c r="L494" i="1"/>
  <c r="M494" i="1" s="1" a="1"/>
  <c r="M494" i="1" s="1"/>
  <c r="P493" i="1"/>
  <c r="L493" i="1"/>
  <c r="M493" i="1" s="1" a="1"/>
  <c r="M493" i="1" s="1"/>
  <c r="P492" i="1"/>
  <c r="L492" i="1"/>
  <c r="M492" i="1" s="1" a="1"/>
  <c r="M492" i="1" s="1"/>
  <c r="P491" i="1"/>
  <c r="L491" i="1"/>
  <c r="M491" i="1" s="1" a="1"/>
  <c r="M491" i="1" s="1"/>
  <c r="P490" i="1"/>
  <c r="L490" i="1"/>
  <c r="M490" i="1" s="1" a="1"/>
  <c r="M490" i="1" s="1"/>
  <c r="P489" i="1"/>
  <c r="L489" i="1"/>
  <c r="M489" i="1" s="1" a="1"/>
  <c r="M489" i="1" s="1"/>
  <c r="P488" i="1"/>
  <c r="L488" i="1"/>
  <c r="M488" i="1" s="1" a="1"/>
  <c r="M488" i="1" s="1"/>
  <c r="P487" i="1"/>
  <c r="L487" i="1"/>
  <c r="M487" i="1" s="1" a="1"/>
  <c r="M487" i="1" s="1"/>
  <c r="P486" i="1"/>
  <c r="L486" i="1"/>
  <c r="M486" i="1" s="1" a="1"/>
  <c r="M486" i="1" s="1"/>
  <c r="P485" i="1"/>
  <c r="L485" i="1"/>
  <c r="M485" i="1" s="1" a="1"/>
  <c r="M485" i="1" s="1"/>
  <c r="P484" i="1"/>
  <c r="L484" i="1"/>
  <c r="M484" i="1" s="1" a="1"/>
  <c r="M484" i="1" s="1"/>
  <c r="P483" i="1"/>
  <c r="L483" i="1"/>
  <c r="M483" i="1" s="1" a="1"/>
  <c r="M483" i="1" s="1"/>
  <c r="P482" i="1"/>
  <c r="L482" i="1"/>
  <c r="M482" i="1" s="1" a="1"/>
  <c r="M482" i="1" s="1"/>
  <c r="P481" i="1"/>
  <c r="L481" i="1"/>
  <c r="M481" i="1" s="1" a="1"/>
  <c r="M481" i="1" s="1"/>
  <c r="P480" i="1"/>
  <c r="L480" i="1"/>
  <c r="M480" i="1" s="1" a="1"/>
  <c r="M480" i="1" s="1"/>
  <c r="P479" i="1"/>
  <c r="L479" i="1"/>
  <c r="M479" i="1" s="1" a="1"/>
  <c r="M479" i="1" s="1"/>
  <c r="P478" i="1"/>
  <c r="L478" i="1"/>
  <c r="M478" i="1" s="1" a="1"/>
  <c r="M478" i="1" s="1"/>
  <c r="P477" i="1"/>
  <c r="L477" i="1"/>
  <c r="M477" i="1" s="1" a="1"/>
  <c r="M477" i="1" s="1"/>
  <c r="P476" i="1"/>
  <c r="L476" i="1"/>
  <c r="M476" i="1" s="1" a="1"/>
  <c r="M476" i="1" s="1"/>
  <c r="P475" i="1"/>
  <c r="L475" i="1"/>
  <c r="M475" i="1" s="1" a="1"/>
  <c r="M475" i="1" s="1"/>
  <c r="P474" i="1"/>
  <c r="L474" i="1"/>
  <c r="M474" i="1" s="1" a="1"/>
  <c r="M474" i="1" s="1"/>
  <c r="P473" i="1"/>
  <c r="L473" i="1"/>
  <c r="M473" i="1" s="1" a="1"/>
  <c r="M473" i="1" s="1"/>
  <c r="P472" i="1"/>
  <c r="L472" i="1"/>
  <c r="M472" i="1" s="1" a="1"/>
  <c r="M472" i="1" s="1"/>
  <c r="P471" i="1"/>
  <c r="L471" i="1"/>
  <c r="M471" i="1" s="1" a="1"/>
  <c r="M471" i="1" s="1"/>
  <c r="P470" i="1"/>
  <c r="L470" i="1"/>
  <c r="M470" i="1" s="1" a="1"/>
  <c r="M470" i="1" s="1"/>
  <c r="P469" i="1"/>
  <c r="L469" i="1"/>
  <c r="M469" i="1" s="1" a="1"/>
  <c r="M469" i="1" s="1"/>
  <c r="P468" i="1"/>
  <c r="L468" i="1"/>
  <c r="M468" i="1" s="1" a="1"/>
  <c r="M468" i="1" s="1"/>
  <c r="P467" i="1"/>
  <c r="L467" i="1"/>
  <c r="M467" i="1" s="1" a="1"/>
  <c r="M467" i="1" s="1"/>
  <c r="P466" i="1"/>
  <c r="L466" i="1"/>
  <c r="M466" i="1" s="1" a="1"/>
  <c r="M466" i="1" s="1"/>
  <c r="P465" i="1"/>
  <c r="L465" i="1"/>
  <c r="M465" i="1" s="1" a="1"/>
  <c r="M465" i="1" s="1"/>
  <c r="P464" i="1"/>
  <c r="L464" i="1"/>
  <c r="M464" i="1" s="1" a="1"/>
  <c r="M464" i="1" s="1"/>
  <c r="P463" i="1"/>
  <c r="L463" i="1"/>
  <c r="M463" i="1" s="1" a="1"/>
  <c r="M463" i="1" s="1"/>
  <c r="P462" i="1"/>
  <c r="L462" i="1"/>
  <c r="M462" i="1" s="1" a="1"/>
  <c r="M462" i="1" s="1"/>
  <c r="P461" i="1"/>
  <c r="L461" i="1"/>
  <c r="M461" i="1" s="1" a="1"/>
  <c r="M461" i="1" s="1"/>
  <c r="P460" i="1"/>
  <c r="L460" i="1"/>
  <c r="M460" i="1" s="1" a="1"/>
  <c r="M460" i="1" s="1"/>
  <c r="P459" i="1"/>
  <c r="L459" i="1"/>
  <c r="M459" i="1" s="1" a="1"/>
  <c r="M459" i="1" s="1"/>
  <c r="P458" i="1"/>
  <c r="L458" i="1"/>
  <c r="M458" i="1" s="1" a="1"/>
  <c r="M458" i="1" s="1"/>
  <c r="P457" i="1"/>
  <c r="L457" i="1"/>
  <c r="M457" i="1" s="1" a="1"/>
  <c r="M457" i="1" s="1"/>
  <c r="P456" i="1"/>
  <c r="L456" i="1"/>
  <c r="M456" i="1" s="1" a="1"/>
  <c r="M456" i="1" s="1"/>
  <c r="P455" i="1"/>
  <c r="L455" i="1"/>
  <c r="M455" i="1" s="1" a="1"/>
  <c r="M455" i="1" s="1"/>
  <c r="P454" i="1"/>
  <c r="L454" i="1"/>
  <c r="M454" i="1" s="1" a="1"/>
  <c r="M454" i="1" s="1"/>
  <c r="P453" i="1"/>
  <c r="L453" i="1"/>
  <c r="M453" i="1" s="1" a="1"/>
  <c r="M453" i="1" s="1"/>
  <c r="P452" i="1"/>
  <c r="L452" i="1"/>
  <c r="M452" i="1" s="1" a="1"/>
  <c r="M452" i="1" s="1"/>
  <c r="P451" i="1"/>
  <c r="L451" i="1"/>
  <c r="M451" i="1" s="1" a="1"/>
  <c r="M451" i="1" s="1"/>
  <c r="P450" i="1"/>
  <c r="L450" i="1"/>
  <c r="M450" i="1" s="1" a="1"/>
  <c r="M450" i="1" s="1"/>
  <c r="P449" i="1"/>
  <c r="L449" i="1"/>
  <c r="M449" i="1" s="1" a="1"/>
  <c r="M449" i="1" s="1"/>
  <c r="P448" i="1"/>
  <c r="L448" i="1"/>
  <c r="M448" i="1" s="1" a="1"/>
  <c r="M448" i="1" s="1"/>
  <c r="P447" i="1"/>
  <c r="L447" i="1"/>
  <c r="M447" i="1" s="1" a="1"/>
  <c r="M447" i="1" s="1"/>
  <c r="P446" i="1"/>
  <c r="L446" i="1"/>
  <c r="M446" i="1" s="1" a="1"/>
  <c r="M446" i="1" s="1"/>
  <c r="P445" i="1"/>
  <c r="L445" i="1"/>
  <c r="M445" i="1" s="1" a="1"/>
  <c r="M445" i="1" s="1"/>
  <c r="P444" i="1"/>
  <c r="L444" i="1"/>
  <c r="M444" i="1" s="1" a="1"/>
  <c r="M444" i="1" s="1"/>
  <c r="P443" i="1"/>
  <c r="L443" i="1"/>
  <c r="M443" i="1" s="1" a="1"/>
  <c r="M443" i="1" s="1"/>
  <c r="P442" i="1"/>
  <c r="L442" i="1"/>
  <c r="M442" i="1" s="1" a="1"/>
  <c r="M442" i="1" s="1"/>
  <c r="P441" i="1"/>
  <c r="L441" i="1"/>
  <c r="M441" i="1" s="1" a="1"/>
  <c r="M441" i="1" s="1"/>
  <c r="P440" i="1"/>
  <c r="L440" i="1"/>
  <c r="M440" i="1" s="1" a="1"/>
  <c r="M440" i="1" s="1"/>
  <c r="P439" i="1"/>
  <c r="L439" i="1"/>
  <c r="M439" i="1" s="1" a="1"/>
  <c r="M439" i="1" s="1"/>
  <c r="P438" i="1"/>
  <c r="L438" i="1"/>
  <c r="M438" i="1" s="1" a="1"/>
  <c r="M438" i="1" s="1"/>
  <c r="P437" i="1"/>
  <c r="L437" i="1"/>
  <c r="M437" i="1" s="1" a="1"/>
  <c r="M437" i="1" s="1"/>
  <c r="P436" i="1"/>
  <c r="L436" i="1"/>
  <c r="M436" i="1" s="1" a="1"/>
  <c r="M436" i="1" s="1"/>
  <c r="P435" i="1"/>
  <c r="L435" i="1"/>
  <c r="M435" i="1" s="1" a="1"/>
  <c r="M435" i="1" s="1"/>
  <c r="P434" i="1"/>
  <c r="L434" i="1"/>
  <c r="M434" i="1" s="1" a="1"/>
  <c r="M434" i="1" s="1"/>
  <c r="P433" i="1"/>
  <c r="L433" i="1"/>
  <c r="M433" i="1" s="1" a="1"/>
  <c r="M433" i="1" s="1"/>
  <c r="P432" i="1"/>
  <c r="L432" i="1"/>
  <c r="M432" i="1" s="1" a="1"/>
  <c r="M432" i="1" s="1"/>
  <c r="P431" i="1"/>
  <c r="L431" i="1"/>
  <c r="M431" i="1" s="1" a="1"/>
  <c r="M431" i="1" s="1"/>
  <c r="P430" i="1"/>
  <c r="L430" i="1"/>
  <c r="M430" i="1" s="1" a="1"/>
  <c r="M430" i="1" s="1"/>
  <c r="P429" i="1"/>
  <c r="L429" i="1"/>
  <c r="M429" i="1" s="1" a="1"/>
  <c r="M429" i="1" s="1"/>
  <c r="P428" i="1"/>
  <c r="L428" i="1"/>
  <c r="M428" i="1" s="1" a="1"/>
  <c r="M428" i="1" s="1"/>
  <c r="P427" i="1"/>
  <c r="L427" i="1"/>
  <c r="M427" i="1" s="1" a="1"/>
  <c r="M427" i="1" s="1"/>
  <c r="P426" i="1"/>
  <c r="L426" i="1"/>
  <c r="M426" i="1" s="1" a="1"/>
  <c r="M426" i="1" s="1"/>
  <c r="P425" i="1"/>
  <c r="L425" i="1"/>
  <c r="M425" i="1" s="1" a="1"/>
  <c r="M425" i="1" s="1"/>
  <c r="P424" i="1"/>
  <c r="L424" i="1"/>
  <c r="M424" i="1" s="1" a="1"/>
  <c r="M424" i="1" s="1"/>
  <c r="P423" i="1"/>
  <c r="L423" i="1"/>
  <c r="M423" i="1" s="1" a="1"/>
  <c r="M423" i="1" s="1"/>
  <c r="P422" i="1"/>
  <c r="L422" i="1"/>
  <c r="M422" i="1" s="1" a="1"/>
  <c r="M422" i="1" s="1"/>
  <c r="P421" i="1"/>
  <c r="L421" i="1"/>
  <c r="M421" i="1" s="1" a="1"/>
  <c r="M421" i="1" s="1"/>
  <c r="P420" i="1"/>
  <c r="L420" i="1"/>
  <c r="M420" i="1" s="1" a="1"/>
  <c r="M420" i="1" s="1"/>
  <c r="P419" i="1"/>
  <c r="L419" i="1"/>
  <c r="M419" i="1" s="1" a="1"/>
  <c r="M419" i="1" s="1"/>
  <c r="P418" i="1"/>
  <c r="L418" i="1"/>
  <c r="M418" i="1" s="1" a="1"/>
  <c r="M418" i="1" s="1"/>
  <c r="P417" i="1"/>
  <c r="L417" i="1"/>
  <c r="M417" i="1" s="1" a="1"/>
  <c r="M417" i="1" s="1"/>
  <c r="P416" i="1"/>
  <c r="L416" i="1"/>
  <c r="M416" i="1" s="1" a="1"/>
  <c r="M416" i="1" s="1"/>
  <c r="P415" i="1"/>
  <c r="L415" i="1"/>
  <c r="M415" i="1" s="1" a="1"/>
  <c r="M415" i="1" s="1"/>
  <c r="P414" i="1"/>
  <c r="L414" i="1"/>
  <c r="M414" i="1" s="1" a="1"/>
  <c r="M414" i="1" s="1"/>
  <c r="P413" i="1"/>
  <c r="L413" i="1"/>
  <c r="M413" i="1" s="1" a="1"/>
  <c r="M413" i="1" s="1"/>
  <c r="P412" i="1"/>
  <c r="L412" i="1"/>
  <c r="M412" i="1" s="1" a="1"/>
  <c r="M412" i="1" s="1"/>
  <c r="P411" i="1"/>
  <c r="L411" i="1"/>
  <c r="M411" i="1" s="1" a="1"/>
  <c r="M411" i="1" s="1"/>
  <c r="P410" i="1"/>
  <c r="L410" i="1"/>
  <c r="M410" i="1" s="1" a="1"/>
  <c r="M410" i="1" s="1"/>
  <c r="P409" i="1"/>
  <c r="L409" i="1"/>
  <c r="M409" i="1" s="1" a="1"/>
  <c r="M409" i="1" s="1"/>
  <c r="P408" i="1"/>
  <c r="L408" i="1"/>
  <c r="M408" i="1" s="1" a="1"/>
  <c r="M408" i="1" s="1"/>
  <c r="P407" i="1"/>
  <c r="L407" i="1"/>
  <c r="M407" i="1" s="1" a="1"/>
  <c r="M407" i="1" s="1"/>
  <c r="P406" i="1"/>
  <c r="L406" i="1"/>
  <c r="M406" i="1" s="1" a="1"/>
  <c r="M406" i="1" s="1"/>
  <c r="P405" i="1"/>
  <c r="L405" i="1"/>
  <c r="M405" i="1" s="1" a="1"/>
  <c r="M405" i="1" s="1"/>
  <c r="P404" i="1"/>
  <c r="L404" i="1"/>
  <c r="M404" i="1" s="1" a="1"/>
  <c r="M404" i="1" s="1"/>
  <c r="P403" i="1"/>
  <c r="L403" i="1"/>
  <c r="M403" i="1" s="1" a="1"/>
  <c r="M403" i="1" s="1"/>
  <c r="P402" i="1"/>
  <c r="L402" i="1"/>
  <c r="M402" i="1" s="1" a="1"/>
  <c r="M402" i="1" s="1"/>
  <c r="P401" i="1"/>
  <c r="L401" i="1"/>
  <c r="M401" i="1" s="1" a="1"/>
  <c r="M401" i="1" s="1"/>
  <c r="P400" i="1"/>
  <c r="L400" i="1"/>
  <c r="M400" i="1" s="1" a="1"/>
  <c r="M400" i="1" s="1"/>
  <c r="P399" i="1"/>
  <c r="L399" i="1"/>
  <c r="M399" i="1" s="1" a="1"/>
  <c r="M399" i="1" s="1"/>
  <c r="P398" i="1"/>
  <c r="L398" i="1"/>
  <c r="M398" i="1" s="1" a="1"/>
  <c r="M398" i="1" s="1"/>
  <c r="P397" i="1"/>
  <c r="L397" i="1"/>
  <c r="M397" i="1" s="1" a="1"/>
  <c r="M397" i="1" s="1"/>
  <c r="P396" i="1"/>
  <c r="L396" i="1"/>
  <c r="M396" i="1" s="1" a="1"/>
  <c r="M396" i="1" s="1"/>
  <c r="P395" i="1"/>
  <c r="L395" i="1"/>
  <c r="M395" i="1" s="1" a="1"/>
  <c r="M395" i="1" s="1"/>
  <c r="P394" i="1"/>
  <c r="L394" i="1"/>
  <c r="M394" i="1" s="1" a="1"/>
  <c r="M394" i="1" s="1"/>
  <c r="P393" i="1"/>
  <c r="L393" i="1"/>
  <c r="M393" i="1" s="1" a="1"/>
  <c r="M393" i="1" s="1"/>
  <c r="P392" i="1"/>
  <c r="L392" i="1"/>
  <c r="M392" i="1" s="1" a="1"/>
  <c r="M392" i="1" s="1"/>
  <c r="P391" i="1"/>
  <c r="L391" i="1"/>
  <c r="M391" i="1" s="1" a="1"/>
  <c r="M391" i="1" s="1"/>
  <c r="P390" i="1"/>
  <c r="L390" i="1"/>
  <c r="M390" i="1" s="1" a="1"/>
  <c r="M390" i="1" s="1"/>
  <c r="P389" i="1"/>
  <c r="L389" i="1"/>
  <c r="M389" i="1" s="1" a="1"/>
  <c r="M389" i="1" s="1"/>
  <c r="P388" i="1"/>
  <c r="L388" i="1"/>
  <c r="M388" i="1" s="1" a="1"/>
  <c r="M388" i="1" s="1"/>
  <c r="P387" i="1"/>
  <c r="L387" i="1"/>
  <c r="M387" i="1" s="1" a="1"/>
  <c r="M387" i="1" s="1"/>
  <c r="P386" i="1"/>
  <c r="L386" i="1"/>
  <c r="M386" i="1" s="1" a="1"/>
  <c r="M386" i="1" s="1"/>
  <c r="P385" i="1"/>
  <c r="L385" i="1"/>
  <c r="M385" i="1" s="1" a="1"/>
  <c r="M385" i="1" s="1"/>
  <c r="P384" i="1"/>
  <c r="L384" i="1"/>
  <c r="M384" i="1" s="1" a="1"/>
  <c r="M384" i="1" s="1"/>
  <c r="P383" i="1"/>
  <c r="L383" i="1"/>
  <c r="M383" i="1" s="1" a="1"/>
  <c r="M383" i="1" s="1"/>
  <c r="P382" i="1"/>
  <c r="L382" i="1"/>
  <c r="M382" i="1" s="1" a="1"/>
  <c r="M382" i="1" s="1"/>
  <c r="P381" i="1"/>
  <c r="L381" i="1"/>
  <c r="M381" i="1" s="1" a="1"/>
  <c r="M381" i="1" s="1"/>
  <c r="P380" i="1"/>
  <c r="L380" i="1"/>
  <c r="M380" i="1" s="1" a="1"/>
  <c r="M380" i="1" s="1"/>
  <c r="P379" i="1"/>
  <c r="L379" i="1"/>
  <c r="M379" i="1" s="1" a="1"/>
  <c r="M379" i="1" s="1"/>
  <c r="P378" i="1"/>
  <c r="L378" i="1"/>
  <c r="M378" i="1" s="1" a="1"/>
  <c r="M378" i="1" s="1"/>
  <c r="P377" i="1"/>
  <c r="L377" i="1"/>
  <c r="M377" i="1" s="1" a="1"/>
  <c r="M377" i="1" s="1"/>
  <c r="P376" i="1"/>
  <c r="L376" i="1"/>
  <c r="M376" i="1" s="1" a="1"/>
  <c r="M376" i="1" s="1"/>
  <c r="P375" i="1"/>
  <c r="L375" i="1"/>
  <c r="M375" i="1" s="1" a="1"/>
  <c r="M375" i="1" s="1"/>
  <c r="P374" i="1"/>
  <c r="L374" i="1"/>
  <c r="M374" i="1" s="1" a="1"/>
  <c r="M374" i="1" s="1"/>
  <c r="P373" i="1"/>
  <c r="L373" i="1"/>
  <c r="M373" i="1" s="1" a="1"/>
  <c r="M373" i="1" s="1"/>
  <c r="P372" i="1"/>
  <c r="L372" i="1"/>
  <c r="M372" i="1" s="1" a="1"/>
  <c r="M372" i="1" s="1"/>
  <c r="P371" i="1"/>
  <c r="L371" i="1"/>
  <c r="M371" i="1" s="1" a="1"/>
  <c r="M371" i="1" s="1"/>
  <c r="P370" i="1"/>
  <c r="L370" i="1"/>
  <c r="M370" i="1" s="1" a="1"/>
  <c r="M370" i="1" s="1"/>
  <c r="P369" i="1"/>
  <c r="L369" i="1"/>
  <c r="M369" i="1" s="1" a="1"/>
  <c r="M369" i="1" s="1"/>
  <c r="P368" i="1"/>
  <c r="L368" i="1"/>
  <c r="M368" i="1" s="1" a="1"/>
  <c r="M368" i="1" s="1"/>
  <c r="P367" i="1"/>
  <c r="L367" i="1"/>
  <c r="M367" i="1" s="1" a="1"/>
  <c r="M367" i="1" s="1"/>
  <c r="P366" i="1"/>
  <c r="L366" i="1"/>
  <c r="M366" i="1" s="1" a="1"/>
  <c r="M366" i="1" s="1"/>
  <c r="P365" i="1"/>
  <c r="L365" i="1"/>
  <c r="M365" i="1" s="1" a="1"/>
  <c r="M365" i="1" s="1"/>
  <c r="P364" i="1"/>
  <c r="L364" i="1"/>
  <c r="M364" i="1" s="1" a="1"/>
  <c r="M364" i="1" s="1"/>
  <c r="P363" i="1"/>
  <c r="L363" i="1"/>
  <c r="M363" i="1" s="1" a="1"/>
  <c r="M363" i="1" s="1"/>
  <c r="P362" i="1"/>
  <c r="L362" i="1"/>
  <c r="M362" i="1" s="1" a="1"/>
  <c r="M362" i="1" s="1"/>
  <c r="P361" i="1"/>
  <c r="L361" i="1"/>
  <c r="M361" i="1" s="1" a="1"/>
  <c r="M361" i="1" s="1"/>
  <c r="P360" i="1"/>
  <c r="L360" i="1"/>
  <c r="M360" i="1" s="1" a="1"/>
  <c r="M360" i="1" s="1"/>
  <c r="P359" i="1"/>
  <c r="L359" i="1"/>
  <c r="M359" i="1" s="1" a="1"/>
  <c r="M359" i="1" s="1"/>
  <c r="P358" i="1"/>
  <c r="L358" i="1"/>
  <c r="M358" i="1" s="1" a="1"/>
  <c r="M358" i="1" s="1"/>
  <c r="P357" i="1"/>
  <c r="L357" i="1"/>
  <c r="M357" i="1" s="1" a="1"/>
  <c r="M357" i="1" s="1"/>
  <c r="P356" i="1"/>
  <c r="L356" i="1"/>
  <c r="M356" i="1" s="1" a="1"/>
  <c r="M356" i="1" s="1"/>
  <c r="P355" i="1"/>
  <c r="L355" i="1"/>
  <c r="M355" i="1" s="1" a="1"/>
  <c r="M355" i="1" s="1"/>
  <c r="P354" i="1"/>
  <c r="L354" i="1"/>
  <c r="M354" i="1" s="1" a="1"/>
  <c r="M354" i="1" s="1"/>
  <c r="P353" i="1"/>
  <c r="L353" i="1"/>
  <c r="M353" i="1" s="1" a="1"/>
  <c r="M353" i="1" s="1"/>
  <c r="P352" i="1"/>
  <c r="L352" i="1"/>
  <c r="M352" i="1" s="1" a="1"/>
  <c r="M352" i="1" s="1"/>
  <c r="P351" i="1"/>
  <c r="L351" i="1"/>
  <c r="M351" i="1" s="1" a="1"/>
  <c r="M351" i="1" s="1"/>
  <c r="P350" i="1"/>
  <c r="L350" i="1"/>
  <c r="M350" i="1" s="1" a="1"/>
  <c r="M350" i="1" s="1"/>
  <c r="P349" i="1"/>
  <c r="L349" i="1"/>
  <c r="M349" i="1" s="1" a="1"/>
  <c r="M349" i="1" s="1"/>
  <c r="P348" i="1"/>
  <c r="L348" i="1"/>
  <c r="M348" i="1" s="1" a="1"/>
  <c r="M348" i="1" s="1"/>
  <c r="P347" i="1"/>
  <c r="L347" i="1"/>
  <c r="M347" i="1" s="1" a="1"/>
  <c r="M347" i="1" s="1"/>
  <c r="P346" i="1"/>
  <c r="L346" i="1"/>
  <c r="M346" i="1" s="1" a="1"/>
  <c r="M346" i="1" s="1"/>
  <c r="P345" i="1"/>
  <c r="L345" i="1"/>
  <c r="M345" i="1" s="1" a="1"/>
  <c r="M345" i="1" s="1"/>
  <c r="P344" i="1"/>
  <c r="L344" i="1"/>
  <c r="M344" i="1" s="1" a="1"/>
  <c r="M344" i="1" s="1"/>
  <c r="P343" i="1"/>
  <c r="L343" i="1"/>
  <c r="M343" i="1" s="1" a="1"/>
  <c r="M343" i="1" s="1"/>
  <c r="P342" i="1"/>
  <c r="L342" i="1"/>
  <c r="M342" i="1" s="1" a="1"/>
  <c r="M342" i="1" s="1"/>
  <c r="P341" i="1"/>
  <c r="L341" i="1"/>
  <c r="M341" i="1" s="1" a="1"/>
  <c r="M341" i="1" s="1"/>
  <c r="P340" i="1"/>
  <c r="L340" i="1"/>
  <c r="M340" i="1" s="1" a="1"/>
  <c r="M340" i="1" s="1"/>
  <c r="P339" i="1"/>
  <c r="L339" i="1"/>
  <c r="M339" i="1" s="1" a="1"/>
  <c r="M339" i="1" s="1"/>
  <c r="P338" i="1"/>
  <c r="L338" i="1"/>
  <c r="M338" i="1" s="1" a="1"/>
  <c r="M338" i="1" s="1"/>
  <c r="P337" i="1"/>
  <c r="L337" i="1"/>
  <c r="M337" i="1" s="1" a="1"/>
  <c r="M337" i="1" s="1"/>
  <c r="P336" i="1"/>
  <c r="L336" i="1"/>
  <c r="M336" i="1" s="1" a="1"/>
  <c r="M336" i="1" s="1"/>
  <c r="P335" i="1"/>
  <c r="L335" i="1"/>
  <c r="M335" i="1" s="1" a="1"/>
  <c r="M335" i="1" s="1"/>
  <c r="P334" i="1"/>
  <c r="L334" i="1"/>
  <c r="M334" i="1" s="1" a="1"/>
  <c r="M334" i="1" s="1"/>
  <c r="P333" i="1"/>
  <c r="L333" i="1"/>
  <c r="M333" i="1" s="1" a="1"/>
  <c r="M333" i="1" s="1"/>
  <c r="P332" i="1"/>
  <c r="L332" i="1"/>
  <c r="M332" i="1" s="1" a="1"/>
  <c r="M332" i="1" s="1"/>
  <c r="P331" i="1"/>
  <c r="L331" i="1"/>
  <c r="M331" i="1" s="1" a="1"/>
  <c r="M331" i="1" s="1"/>
  <c r="P330" i="1"/>
  <c r="L330" i="1"/>
  <c r="M330" i="1" s="1" a="1"/>
  <c r="M330" i="1" s="1"/>
  <c r="P329" i="1"/>
  <c r="L329" i="1"/>
  <c r="M329" i="1" s="1" a="1"/>
  <c r="M329" i="1" s="1"/>
  <c r="P328" i="1"/>
  <c r="L328" i="1"/>
  <c r="M328" i="1" s="1" a="1"/>
  <c r="M328" i="1" s="1"/>
  <c r="P327" i="1"/>
  <c r="L327" i="1"/>
  <c r="M327" i="1" s="1" a="1"/>
  <c r="M327" i="1" s="1"/>
  <c r="P326" i="1"/>
  <c r="L326" i="1"/>
  <c r="M326" i="1" s="1" a="1"/>
  <c r="M326" i="1" s="1"/>
  <c r="P325" i="1"/>
  <c r="L325" i="1"/>
  <c r="M325" i="1" s="1" a="1"/>
  <c r="M325" i="1" s="1"/>
  <c r="P324" i="1"/>
  <c r="L324" i="1"/>
  <c r="M324" i="1" s="1" a="1"/>
  <c r="M324" i="1" s="1"/>
  <c r="P323" i="1"/>
  <c r="L323" i="1"/>
  <c r="M323" i="1" s="1" a="1"/>
  <c r="M323" i="1" s="1"/>
  <c r="P322" i="1"/>
  <c r="L322" i="1"/>
  <c r="M322" i="1" s="1" a="1"/>
  <c r="M322" i="1" s="1"/>
  <c r="P321" i="1"/>
  <c r="L321" i="1"/>
  <c r="M321" i="1" s="1" a="1"/>
  <c r="M321" i="1" s="1"/>
  <c r="P320" i="1"/>
  <c r="L320" i="1"/>
  <c r="M320" i="1" s="1" a="1"/>
  <c r="M320" i="1" s="1"/>
  <c r="P319" i="1"/>
  <c r="L319" i="1"/>
  <c r="M319" i="1" s="1" a="1"/>
  <c r="M319" i="1" s="1"/>
  <c r="P318" i="1"/>
  <c r="L318" i="1"/>
  <c r="M318" i="1" s="1" a="1"/>
  <c r="M318" i="1" s="1"/>
  <c r="P317" i="1"/>
  <c r="L317" i="1"/>
  <c r="M317" i="1" s="1" a="1"/>
  <c r="M317" i="1" s="1"/>
  <c r="P316" i="1"/>
  <c r="L316" i="1"/>
  <c r="M316" i="1" s="1" a="1"/>
  <c r="M316" i="1" s="1"/>
  <c r="P315" i="1"/>
  <c r="L315" i="1"/>
  <c r="M315" i="1" s="1" a="1"/>
  <c r="M315" i="1" s="1"/>
  <c r="P314" i="1"/>
  <c r="L314" i="1"/>
  <c r="M314" i="1" s="1" a="1"/>
  <c r="M314" i="1" s="1"/>
  <c r="P313" i="1"/>
  <c r="L313" i="1"/>
  <c r="M313" i="1" s="1" a="1"/>
  <c r="M313" i="1" s="1"/>
  <c r="P312" i="1"/>
  <c r="L312" i="1"/>
  <c r="M312" i="1" s="1" a="1"/>
  <c r="M312" i="1" s="1"/>
  <c r="P311" i="1"/>
  <c r="L311" i="1"/>
  <c r="M311" i="1" s="1" a="1"/>
  <c r="M311" i="1" s="1"/>
  <c r="P310" i="1"/>
  <c r="L310" i="1"/>
  <c r="M310" i="1" s="1" a="1"/>
  <c r="M310" i="1" s="1"/>
  <c r="P309" i="1"/>
  <c r="L309" i="1"/>
  <c r="M309" i="1" s="1" a="1"/>
  <c r="M309" i="1" s="1"/>
  <c r="P308" i="1"/>
  <c r="L308" i="1"/>
  <c r="M308" i="1" s="1" a="1"/>
  <c r="M308" i="1" s="1"/>
  <c r="P307" i="1"/>
  <c r="L307" i="1"/>
  <c r="M307" i="1" s="1" a="1"/>
  <c r="M307" i="1" s="1"/>
  <c r="P306" i="1"/>
  <c r="L306" i="1"/>
  <c r="M306" i="1" s="1" a="1"/>
  <c r="M306" i="1" s="1"/>
  <c r="P305" i="1"/>
  <c r="L305" i="1"/>
  <c r="M305" i="1" s="1" a="1"/>
  <c r="M305" i="1" s="1"/>
  <c r="P304" i="1"/>
  <c r="L304" i="1"/>
  <c r="M304" i="1" s="1" a="1"/>
  <c r="M304" i="1" s="1"/>
  <c r="P303" i="1"/>
  <c r="L303" i="1"/>
  <c r="M303" i="1" s="1" a="1"/>
  <c r="M303" i="1" s="1"/>
  <c r="P302" i="1"/>
  <c r="L302" i="1"/>
  <c r="M302" i="1" s="1" a="1"/>
  <c r="M302" i="1" s="1"/>
  <c r="P301" i="1"/>
  <c r="L301" i="1"/>
  <c r="M301" i="1" s="1" a="1"/>
  <c r="M301" i="1" s="1"/>
  <c r="P300" i="1"/>
  <c r="L300" i="1"/>
  <c r="M300" i="1" s="1" a="1"/>
  <c r="M300" i="1" s="1"/>
  <c r="P299" i="1"/>
  <c r="L299" i="1"/>
  <c r="M299" i="1" s="1" a="1"/>
  <c r="M299" i="1" s="1"/>
  <c r="P298" i="1"/>
  <c r="L298" i="1"/>
  <c r="M298" i="1" s="1" a="1"/>
  <c r="M298" i="1" s="1"/>
  <c r="P297" i="1"/>
  <c r="L297" i="1"/>
  <c r="M297" i="1" s="1" a="1"/>
  <c r="M297" i="1" s="1"/>
  <c r="P296" i="1"/>
  <c r="L296" i="1"/>
  <c r="M296" i="1" s="1" a="1"/>
  <c r="M296" i="1" s="1"/>
  <c r="P295" i="1"/>
  <c r="L295" i="1"/>
  <c r="M295" i="1" s="1" a="1"/>
  <c r="M295" i="1" s="1"/>
  <c r="P294" i="1"/>
  <c r="L294" i="1"/>
  <c r="M294" i="1" s="1" a="1"/>
  <c r="M294" i="1" s="1"/>
  <c r="P293" i="1"/>
  <c r="L293" i="1"/>
  <c r="M293" i="1" s="1" a="1"/>
  <c r="M293" i="1" s="1"/>
  <c r="P292" i="1"/>
  <c r="L292" i="1"/>
  <c r="M292" i="1" s="1" a="1"/>
  <c r="M292" i="1" s="1"/>
  <c r="P291" i="1"/>
  <c r="L291" i="1"/>
  <c r="M291" i="1" s="1" a="1"/>
  <c r="M291" i="1" s="1"/>
  <c r="P290" i="1"/>
  <c r="L290" i="1"/>
  <c r="M290" i="1" s="1" a="1"/>
  <c r="M290" i="1" s="1"/>
  <c r="P289" i="1"/>
  <c r="L289" i="1"/>
  <c r="M289" i="1" s="1" a="1"/>
  <c r="M289" i="1" s="1"/>
  <c r="P288" i="1"/>
  <c r="L288" i="1"/>
  <c r="M288" i="1" s="1" a="1"/>
  <c r="M288" i="1" s="1"/>
  <c r="P287" i="1"/>
  <c r="L287" i="1"/>
  <c r="M287" i="1" s="1" a="1"/>
  <c r="M287" i="1" s="1"/>
  <c r="P286" i="1"/>
  <c r="L286" i="1"/>
  <c r="M286" i="1" s="1" a="1"/>
  <c r="M286" i="1" s="1"/>
  <c r="P285" i="1"/>
  <c r="L285" i="1"/>
  <c r="M285" i="1" s="1" a="1"/>
  <c r="M285" i="1" s="1"/>
  <c r="P284" i="1"/>
  <c r="L284" i="1"/>
  <c r="M284" i="1" s="1" a="1"/>
  <c r="M284" i="1" s="1"/>
  <c r="P283" i="1"/>
  <c r="L283" i="1"/>
  <c r="M283" i="1" s="1" a="1"/>
  <c r="M283" i="1" s="1"/>
  <c r="P282" i="1"/>
  <c r="L282" i="1"/>
  <c r="M282" i="1" s="1" a="1"/>
  <c r="M282" i="1" s="1"/>
  <c r="P281" i="1"/>
  <c r="L281" i="1"/>
  <c r="M281" i="1" s="1" a="1"/>
  <c r="M281" i="1" s="1"/>
  <c r="P280" i="1"/>
  <c r="L280" i="1"/>
  <c r="M280" i="1" s="1" a="1"/>
  <c r="M280" i="1" s="1"/>
  <c r="P279" i="1"/>
  <c r="L279" i="1"/>
  <c r="M279" i="1" s="1" a="1"/>
  <c r="M279" i="1" s="1"/>
  <c r="P278" i="1"/>
  <c r="L278" i="1"/>
  <c r="M278" i="1" s="1" a="1"/>
  <c r="M278" i="1" s="1"/>
  <c r="P277" i="1"/>
  <c r="L277" i="1"/>
  <c r="M277" i="1" s="1" a="1"/>
  <c r="M277" i="1" s="1"/>
  <c r="P276" i="1"/>
  <c r="L276" i="1"/>
  <c r="M276" i="1" s="1" a="1"/>
  <c r="M276" i="1" s="1"/>
  <c r="P275" i="1"/>
  <c r="L275" i="1"/>
  <c r="M275" i="1" s="1" a="1"/>
  <c r="M275" i="1" s="1"/>
  <c r="P274" i="1"/>
  <c r="L274" i="1"/>
  <c r="M274" i="1" s="1" a="1"/>
  <c r="M274" i="1" s="1"/>
  <c r="P273" i="1"/>
  <c r="L273" i="1"/>
  <c r="M273" i="1" s="1" a="1"/>
  <c r="M273" i="1" s="1"/>
  <c r="P272" i="1"/>
  <c r="L272" i="1"/>
  <c r="M272" i="1" s="1" a="1"/>
  <c r="M272" i="1" s="1"/>
  <c r="P271" i="1"/>
  <c r="L271" i="1"/>
  <c r="M271" i="1" s="1" a="1"/>
  <c r="M271" i="1" s="1"/>
  <c r="P270" i="1"/>
  <c r="L270" i="1"/>
  <c r="M270" i="1" s="1" a="1"/>
  <c r="M270" i="1" s="1"/>
  <c r="P269" i="1"/>
  <c r="L269" i="1"/>
  <c r="M269" i="1" s="1" a="1"/>
  <c r="M269" i="1" s="1"/>
  <c r="P268" i="1"/>
  <c r="L268" i="1"/>
  <c r="M268" i="1" s="1" a="1"/>
  <c r="M268" i="1" s="1"/>
  <c r="P267" i="1"/>
  <c r="L267" i="1"/>
  <c r="M267" i="1" s="1" a="1"/>
  <c r="M267" i="1" s="1"/>
  <c r="P266" i="1"/>
  <c r="L266" i="1"/>
  <c r="M266" i="1" s="1" a="1"/>
  <c r="M266" i="1" s="1"/>
  <c r="P265" i="1"/>
  <c r="L265" i="1"/>
  <c r="M265" i="1" s="1" a="1"/>
  <c r="M265" i="1" s="1"/>
  <c r="P264" i="1"/>
  <c r="L264" i="1"/>
  <c r="M264" i="1" s="1" a="1"/>
  <c r="M264" i="1" s="1"/>
  <c r="P263" i="1"/>
  <c r="L263" i="1"/>
  <c r="M263" i="1" s="1" a="1"/>
  <c r="M263" i="1" s="1"/>
  <c r="P262" i="1"/>
  <c r="L262" i="1"/>
  <c r="M262" i="1" s="1" a="1"/>
  <c r="M262" i="1" s="1"/>
  <c r="P261" i="1"/>
  <c r="L261" i="1"/>
  <c r="M261" i="1" s="1" a="1"/>
  <c r="M261" i="1" s="1"/>
  <c r="P260" i="1"/>
  <c r="L260" i="1"/>
  <c r="M260" i="1" s="1" a="1"/>
  <c r="M260" i="1" s="1"/>
  <c r="P259" i="1"/>
  <c r="L259" i="1"/>
  <c r="M259" i="1" s="1" a="1"/>
  <c r="M259" i="1" s="1"/>
  <c r="P258" i="1"/>
  <c r="L258" i="1"/>
  <c r="M258" i="1" s="1" a="1"/>
  <c r="M258" i="1" s="1"/>
  <c r="P257" i="1"/>
  <c r="L257" i="1"/>
  <c r="M257" i="1" s="1" a="1"/>
  <c r="M257" i="1" s="1"/>
  <c r="P256" i="1"/>
  <c r="L256" i="1"/>
  <c r="M256" i="1" s="1" a="1"/>
  <c r="M256" i="1" s="1"/>
  <c r="P255" i="1"/>
  <c r="L255" i="1"/>
  <c r="M255" i="1" s="1" a="1"/>
  <c r="M255" i="1" s="1"/>
  <c r="P254" i="1"/>
  <c r="L254" i="1"/>
  <c r="M254" i="1" s="1" a="1"/>
  <c r="M254" i="1" s="1"/>
  <c r="P253" i="1"/>
  <c r="L253" i="1"/>
  <c r="M253" i="1" s="1" a="1"/>
  <c r="M253" i="1" s="1"/>
  <c r="P252" i="1"/>
  <c r="L252" i="1"/>
  <c r="M252" i="1" s="1" a="1"/>
  <c r="M252" i="1" s="1"/>
  <c r="P251" i="1"/>
  <c r="L251" i="1"/>
  <c r="M251" i="1" s="1" a="1"/>
  <c r="M251" i="1" s="1"/>
  <c r="P250" i="1"/>
  <c r="L250" i="1"/>
  <c r="M250" i="1" s="1" a="1"/>
  <c r="M250" i="1" s="1"/>
  <c r="P249" i="1"/>
  <c r="L249" i="1"/>
  <c r="M249" i="1" s="1" a="1"/>
  <c r="M249" i="1" s="1"/>
  <c r="P248" i="1"/>
  <c r="L248" i="1"/>
  <c r="M248" i="1" s="1" a="1"/>
  <c r="M248" i="1" s="1"/>
  <c r="P247" i="1"/>
  <c r="L247" i="1"/>
  <c r="M247" i="1" s="1" a="1"/>
  <c r="M247" i="1" s="1"/>
  <c r="P246" i="1"/>
  <c r="L246" i="1"/>
  <c r="M246" i="1" s="1" a="1"/>
  <c r="M246" i="1" s="1"/>
  <c r="P245" i="1"/>
  <c r="L245" i="1"/>
  <c r="M245" i="1" s="1" a="1"/>
  <c r="M245" i="1" s="1"/>
  <c r="P244" i="1"/>
  <c r="L244" i="1"/>
  <c r="M244" i="1" s="1" a="1"/>
  <c r="M244" i="1" s="1"/>
  <c r="P243" i="1"/>
  <c r="L243" i="1"/>
  <c r="M243" i="1" s="1" a="1"/>
  <c r="M243" i="1" s="1"/>
  <c r="P242" i="1"/>
  <c r="L242" i="1"/>
  <c r="M242" i="1" s="1" a="1"/>
  <c r="M242" i="1" s="1"/>
  <c r="P241" i="1"/>
  <c r="L241" i="1"/>
  <c r="M241" i="1" s="1" a="1"/>
  <c r="M241" i="1" s="1"/>
  <c r="P240" i="1"/>
  <c r="L240" i="1"/>
  <c r="M240" i="1" s="1" a="1"/>
  <c r="M240" i="1" s="1"/>
  <c r="P239" i="1"/>
  <c r="L239" i="1"/>
  <c r="M239" i="1" s="1" a="1"/>
  <c r="M239" i="1" s="1"/>
  <c r="P238" i="1"/>
  <c r="L238" i="1"/>
  <c r="M238" i="1" s="1" a="1"/>
  <c r="M238" i="1" s="1"/>
  <c r="P237" i="1"/>
  <c r="L237" i="1"/>
  <c r="M237" i="1" s="1" a="1"/>
  <c r="M237" i="1" s="1"/>
  <c r="P236" i="1"/>
  <c r="L236" i="1"/>
  <c r="M236" i="1" s="1" a="1"/>
  <c r="M236" i="1" s="1"/>
  <c r="P235" i="1"/>
  <c r="L235" i="1"/>
  <c r="M235" i="1" s="1" a="1"/>
  <c r="M235" i="1" s="1"/>
  <c r="P234" i="1"/>
  <c r="L234" i="1"/>
  <c r="M234" i="1" s="1" a="1"/>
  <c r="M234" i="1" s="1"/>
  <c r="P233" i="1"/>
  <c r="L233" i="1"/>
  <c r="M233" i="1" s="1" a="1"/>
  <c r="M233" i="1" s="1"/>
  <c r="P232" i="1"/>
  <c r="L232" i="1"/>
  <c r="M232" i="1" s="1" a="1"/>
  <c r="M232" i="1" s="1"/>
  <c r="P231" i="1"/>
  <c r="L231" i="1"/>
  <c r="M231" i="1" s="1" a="1"/>
  <c r="M231" i="1" s="1"/>
  <c r="P230" i="1"/>
  <c r="L230" i="1"/>
  <c r="M230" i="1" s="1" a="1"/>
  <c r="M230" i="1" s="1"/>
  <c r="P229" i="1"/>
  <c r="L229" i="1"/>
  <c r="M229" i="1" s="1" a="1"/>
  <c r="M229" i="1" s="1"/>
  <c r="P228" i="1"/>
  <c r="L228" i="1"/>
  <c r="M228" i="1" s="1" a="1"/>
  <c r="M228" i="1" s="1"/>
  <c r="P227" i="1"/>
  <c r="L227" i="1"/>
  <c r="M227" i="1" s="1" a="1"/>
  <c r="M227" i="1" s="1"/>
  <c r="P226" i="1"/>
  <c r="L226" i="1"/>
  <c r="M226" i="1" s="1" a="1"/>
  <c r="M226" i="1" s="1"/>
  <c r="P225" i="1"/>
  <c r="L225" i="1"/>
  <c r="M225" i="1" s="1" a="1"/>
  <c r="M225" i="1" s="1"/>
  <c r="P224" i="1"/>
  <c r="L224" i="1"/>
  <c r="M224" i="1" s="1" a="1"/>
  <c r="M224" i="1" s="1"/>
  <c r="P223" i="1"/>
  <c r="L223" i="1"/>
  <c r="M223" i="1" s="1" a="1"/>
  <c r="M223" i="1" s="1"/>
  <c r="P222" i="1"/>
  <c r="L222" i="1"/>
  <c r="M222" i="1" s="1" a="1"/>
  <c r="M222" i="1" s="1"/>
  <c r="P221" i="1"/>
  <c r="L221" i="1"/>
  <c r="M221" i="1" s="1" a="1"/>
  <c r="M221" i="1" s="1"/>
  <c r="P220" i="1"/>
  <c r="L220" i="1"/>
  <c r="M220" i="1" s="1" a="1"/>
  <c r="M220" i="1" s="1"/>
  <c r="P219" i="1"/>
  <c r="L219" i="1"/>
  <c r="M219" i="1" s="1" a="1"/>
  <c r="M219" i="1" s="1"/>
  <c r="P218" i="1"/>
  <c r="L218" i="1"/>
  <c r="M218" i="1" s="1" a="1"/>
  <c r="M218" i="1" s="1"/>
  <c r="P217" i="1"/>
  <c r="L217" i="1"/>
  <c r="M217" i="1" s="1" a="1"/>
  <c r="M217" i="1" s="1"/>
  <c r="P216" i="1"/>
  <c r="L216" i="1"/>
  <c r="M216" i="1" s="1" a="1"/>
  <c r="M216" i="1" s="1"/>
  <c r="P215" i="1"/>
  <c r="L215" i="1"/>
  <c r="M215" i="1" s="1" a="1"/>
  <c r="M215" i="1" s="1"/>
  <c r="P214" i="1"/>
  <c r="L214" i="1"/>
  <c r="M214" i="1" s="1" a="1"/>
  <c r="M214" i="1" s="1"/>
  <c r="P213" i="1"/>
  <c r="L213" i="1"/>
  <c r="M213" i="1" s="1" a="1"/>
  <c r="M213" i="1" s="1"/>
  <c r="P212" i="1"/>
  <c r="L212" i="1"/>
  <c r="M212" i="1" s="1" a="1"/>
  <c r="M212" i="1" s="1"/>
  <c r="P211" i="1"/>
  <c r="L211" i="1"/>
  <c r="M211" i="1" s="1" a="1"/>
  <c r="M211" i="1" s="1"/>
  <c r="P210" i="1"/>
  <c r="L210" i="1"/>
  <c r="M210" i="1" s="1" a="1"/>
  <c r="M210" i="1" s="1"/>
  <c r="P209" i="1"/>
  <c r="L209" i="1"/>
  <c r="M209" i="1" s="1" a="1"/>
  <c r="M209" i="1" s="1"/>
  <c r="P208" i="1"/>
  <c r="L208" i="1"/>
  <c r="M208" i="1" s="1" a="1"/>
  <c r="M208" i="1" s="1"/>
  <c r="P207" i="1"/>
  <c r="L207" i="1"/>
  <c r="M207" i="1" s="1" a="1"/>
  <c r="M207" i="1" s="1"/>
  <c r="P206" i="1"/>
  <c r="L206" i="1"/>
  <c r="M206" i="1" s="1" a="1"/>
  <c r="M206" i="1" s="1"/>
  <c r="P205" i="1"/>
  <c r="L205" i="1"/>
  <c r="M205" i="1" s="1" a="1"/>
  <c r="M205" i="1" s="1"/>
  <c r="P204" i="1"/>
  <c r="L204" i="1"/>
  <c r="M204" i="1" s="1" a="1"/>
  <c r="M204" i="1" s="1"/>
  <c r="P203" i="1"/>
  <c r="L203" i="1"/>
  <c r="M203" i="1" s="1" a="1"/>
  <c r="M203" i="1" s="1"/>
  <c r="P202" i="1"/>
  <c r="L202" i="1"/>
  <c r="M202" i="1" s="1" a="1"/>
  <c r="M202" i="1" s="1"/>
  <c r="P201" i="1"/>
  <c r="L201" i="1"/>
  <c r="M201" i="1" s="1" a="1"/>
  <c r="M201" i="1" s="1"/>
  <c r="P200" i="1"/>
  <c r="L200" i="1"/>
  <c r="M200" i="1" s="1" a="1"/>
  <c r="M200" i="1" s="1"/>
  <c r="P199" i="1"/>
  <c r="L199" i="1"/>
  <c r="M199" i="1" s="1" a="1"/>
  <c r="M199" i="1" s="1"/>
  <c r="P198" i="1"/>
  <c r="L198" i="1"/>
  <c r="M198" i="1" s="1" a="1"/>
  <c r="M198" i="1" s="1"/>
  <c r="P197" i="1"/>
  <c r="L197" i="1"/>
  <c r="M197" i="1" s="1" a="1"/>
  <c r="M197" i="1" s="1"/>
  <c r="P196" i="1"/>
  <c r="L196" i="1"/>
  <c r="M196" i="1" s="1" a="1"/>
  <c r="M196" i="1" s="1"/>
  <c r="P195" i="1"/>
  <c r="L195" i="1"/>
  <c r="M195" i="1" s="1" a="1"/>
  <c r="M195" i="1" s="1"/>
  <c r="P194" i="1"/>
  <c r="L194" i="1"/>
  <c r="M194" i="1" s="1" a="1"/>
  <c r="M194" i="1" s="1"/>
  <c r="P193" i="1"/>
  <c r="L193" i="1"/>
  <c r="M193" i="1" s="1" a="1"/>
  <c r="M193" i="1" s="1"/>
  <c r="P192" i="1"/>
  <c r="L192" i="1"/>
  <c r="M192" i="1" s="1" a="1"/>
  <c r="M192" i="1" s="1"/>
  <c r="P191" i="1"/>
  <c r="L191" i="1"/>
  <c r="M191" i="1" s="1" a="1"/>
  <c r="M191" i="1" s="1"/>
  <c r="P190" i="1"/>
  <c r="L190" i="1"/>
  <c r="M190" i="1" s="1" a="1"/>
  <c r="M190" i="1" s="1"/>
  <c r="P189" i="1"/>
  <c r="L189" i="1"/>
  <c r="M189" i="1" s="1" a="1"/>
  <c r="M189" i="1" s="1"/>
  <c r="P188" i="1"/>
  <c r="L188" i="1"/>
  <c r="M188" i="1" s="1" a="1"/>
  <c r="M188" i="1" s="1"/>
  <c r="P187" i="1"/>
  <c r="L187" i="1"/>
  <c r="M187" i="1" s="1" a="1"/>
  <c r="M187" i="1" s="1"/>
  <c r="P186" i="1"/>
  <c r="L186" i="1"/>
  <c r="M186" i="1" s="1" a="1"/>
  <c r="M186" i="1" s="1"/>
  <c r="P185" i="1"/>
  <c r="L185" i="1"/>
  <c r="M185" i="1" s="1" a="1"/>
  <c r="M185" i="1" s="1"/>
  <c r="P184" i="1"/>
  <c r="L184" i="1"/>
  <c r="M184" i="1" s="1" a="1"/>
  <c r="M184" i="1" s="1"/>
  <c r="P183" i="1"/>
  <c r="L183" i="1"/>
  <c r="M183" i="1" s="1" a="1"/>
  <c r="M183" i="1" s="1"/>
  <c r="P182" i="1"/>
  <c r="L182" i="1"/>
  <c r="M182" i="1" s="1" a="1"/>
  <c r="M182" i="1" s="1"/>
  <c r="P181" i="1"/>
  <c r="L181" i="1"/>
  <c r="M181" i="1" s="1" a="1"/>
  <c r="M181" i="1" s="1"/>
  <c r="P180" i="1"/>
  <c r="L180" i="1"/>
  <c r="M180" i="1" s="1" a="1"/>
  <c r="M180" i="1" s="1"/>
  <c r="P179" i="1"/>
  <c r="L179" i="1"/>
  <c r="M179" i="1" s="1" a="1"/>
  <c r="M179" i="1" s="1"/>
  <c r="P178" i="1"/>
  <c r="L178" i="1"/>
  <c r="M178" i="1" s="1" a="1"/>
  <c r="M178" i="1" s="1"/>
  <c r="P177" i="1"/>
  <c r="L177" i="1"/>
  <c r="M177" i="1" s="1" a="1"/>
  <c r="M177" i="1" s="1"/>
  <c r="P176" i="1"/>
  <c r="L176" i="1"/>
  <c r="M176" i="1" s="1" a="1"/>
  <c r="M176" i="1" s="1"/>
  <c r="P175" i="1"/>
  <c r="L175" i="1"/>
  <c r="M175" i="1" s="1" a="1"/>
  <c r="M175" i="1" s="1"/>
  <c r="P174" i="1"/>
  <c r="L174" i="1"/>
  <c r="M174" i="1" s="1" a="1"/>
  <c r="M174" i="1" s="1"/>
  <c r="P173" i="1"/>
  <c r="L173" i="1"/>
  <c r="M173" i="1" s="1" a="1"/>
  <c r="M173" i="1" s="1"/>
  <c r="P172" i="1"/>
  <c r="L172" i="1"/>
  <c r="M172" i="1" s="1" a="1"/>
  <c r="M172" i="1" s="1"/>
  <c r="P171" i="1"/>
  <c r="L171" i="1"/>
  <c r="M171" i="1" s="1" a="1"/>
  <c r="M171" i="1" s="1"/>
  <c r="P170" i="1"/>
  <c r="L170" i="1"/>
  <c r="M170" i="1" s="1" a="1"/>
  <c r="M170" i="1" s="1"/>
  <c r="P169" i="1"/>
  <c r="L169" i="1"/>
  <c r="M169" i="1" s="1" a="1"/>
  <c r="M169" i="1" s="1"/>
  <c r="P168" i="1"/>
  <c r="L168" i="1"/>
  <c r="M168" i="1" s="1" a="1"/>
  <c r="M168" i="1" s="1"/>
  <c r="P167" i="1"/>
  <c r="L167" i="1"/>
  <c r="M167" i="1" s="1" a="1"/>
  <c r="M167" i="1" s="1"/>
  <c r="P166" i="1"/>
  <c r="L166" i="1"/>
  <c r="M166" i="1" s="1" a="1"/>
  <c r="M166" i="1" s="1"/>
  <c r="P165" i="1"/>
  <c r="L165" i="1"/>
  <c r="M165" i="1" s="1" a="1"/>
  <c r="M165" i="1" s="1"/>
  <c r="P164" i="1"/>
  <c r="L164" i="1"/>
  <c r="M164" i="1" s="1" a="1"/>
  <c r="M164" i="1" s="1"/>
  <c r="P163" i="1"/>
  <c r="L163" i="1"/>
  <c r="M163" i="1" s="1" a="1"/>
  <c r="M163" i="1" s="1"/>
  <c r="P162" i="1"/>
  <c r="L162" i="1"/>
  <c r="M162" i="1" s="1" a="1"/>
  <c r="M162" i="1" s="1"/>
  <c r="P161" i="1"/>
  <c r="L161" i="1"/>
  <c r="M161" i="1" s="1" a="1"/>
  <c r="M161" i="1" s="1"/>
  <c r="P160" i="1"/>
  <c r="L160" i="1"/>
  <c r="M160" i="1" s="1" a="1"/>
  <c r="M160" i="1" s="1"/>
  <c r="P159" i="1"/>
  <c r="L159" i="1"/>
  <c r="M159" i="1" s="1" a="1"/>
  <c r="M159" i="1" s="1"/>
  <c r="P158" i="1"/>
  <c r="L158" i="1"/>
  <c r="M158" i="1" s="1" a="1"/>
  <c r="M158" i="1" s="1"/>
  <c r="P157" i="1"/>
  <c r="L157" i="1"/>
  <c r="M157" i="1" s="1" a="1"/>
  <c r="M157" i="1" s="1"/>
  <c r="P156" i="1"/>
  <c r="L156" i="1"/>
  <c r="M156" i="1" s="1" a="1"/>
  <c r="M156" i="1" s="1"/>
  <c r="P155" i="1"/>
  <c r="L155" i="1"/>
  <c r="M155" i="1" s="1" a="1"/>
  <c r="M155" i="1" s="1"/>
  <c r="P154" i="1"/>
  <c r="L154" i="1"/>
  <c r="M154" i="1" s="1" a="1"/>
  <c r="M154" i="1" s="1"/>
  <c r="P153" i="1"/>
  <c r="L153" i="1"/>
  <c r="M153" i="1" s="1" a="1"/>
  <c r="M153" i="1" s="1"/>
  <c r="P152" i="1"/>
  <c r="L152" i="1"/>
  <c r="M152" i="1" s="1" a="1"/>
  <c r="M152" i="1" s="1"/>
  <c r="P151" i="1"/>
  <c r="L151" i="1"/>
  <c r="M151" i="1" s="1" a="1"/>
  <c r="M151" i="1" s="1"/>
  <c r="P150" i="1"/>
  <c r="L150" i="1"/>
  <c r="M150" i="1" s="1" a="1"/>
  <c r="M150" i="1" s="1"/>
  <c r="P149" i="1"/>
  <c r="L149" i="1"/>
  <c r="M149" i="1" s="1" a="1"/>
  <c r="M149" i="1" s="1"/>
  <c r="P148" i="1"/>
  <c r="L148" i="1"/>
  <c r="M148" i="1" s="1" a="1"/>
  <c r="M148" i="1" s="1"/>
  <c r="P147" i="1"/>
  <c r="L147" i="1"/>
  <c r="M147" i="1" s="1" a="1"/>
  <c r="M147" i="1" s="1"/>
  <c r="P146" i="1"/>
  <c r="L146" i="1"/>
  <c r="M146" i="1" s="1" a="1"/>
  <c r="M146" i="1" s="1"/>
  <c r="P145" i="1"/>
  <c r="L145" i="1"/>
  <c r="M145" i="1" s="1" a="1"/>
  <c r="M145" i="1" s="1"/>
  <c r="P144" i="1"/>
  <c r="L144" i="1"/>
  <c r="M144" i="1" s="1" a="1"/>
  <c r="M144" i="1" s="1"/>
  <c r="P143" i="1"/>
  <c r="L143" i="1"/>
  <c r="M143" i="1" s="1" a="1"/>
  <c r="M143" i="1" s="1"/>
  <c r="P142" i="1"/>
  <c r="L142" i="1"/>
  <c r="M142" i="1" s="1" a="1"/>
  <c r="M142" i="1" s="1"/>
  <c r="P141" i="1"/>
  <c r="L141" i="1"/>
  <c r="M141" i="1" s="1" a="1"/>
  <c r="M141" i="1" s="1"/>
  <c r="P140" i="1"/>
  <c r="L140" i="1"/>
  <c r="M140" i="1" s="1" a="1"/>
  <c r="M140" i="1" s="1"/>
  <c r="P139" i="1"/>
  <c r="L139" i="1"/>
  <c r="M139" i="1" s="1" a="1"/>
  <c r="M139" i="1" s="1"/>
  <c r="P138" i="1"/>
  <c r="L138" i="1"/>
  <c r="M138" i="1" s="1" a="1"/>
  <c r="M138" i="1" s="1"/>
  <c r="P137" i="1"/>
  <c r="L137" i="1"/>
  <c r="M137" i="1" s="1" a="1"/>
  <c r="M137" i="1" s="1"/>
  <c r="P136" i="1"/>
  <c r="L136" i="1"/>
  <c r="M136" i="1" s="1" a="1"/>
  <c r="M136" i="1" s="1"/>
  <c r="P135" i="1"/>
  <c r="L135" i="1"/>
  <c r="M135" i="1" s="1" a="1"/>
  <c r="M135" i="1" s="1"/>
  <c r="P134" i="1"/>
  <c r="L134" i="1"/>
  <c r="M134" i="1" s="1" a="1"/>
  <c r="M134" i="1" s="1"/>
  <c r="P133" i="1"/>
  <c r="L133" i="1"/>
  <c r="M133" i="1" s="1" a="1"/>
  <c r="M133" i="1" s="1"/>
  <c r="P132" i="1"/>
  <c r="L132" i="1"/>
  <c r="M132" i="1" s="1" a="1"/>
  <c r="M132" i="1" s="1"/>
  <c r="P131" i="1"/>
  <c r="L131" i="1"/>
  <c r="M131" i="1" s="1" a="1"/>
  <c r="M131" i="1" s="1"/>
  <c r="P130" i="1"/>
  <c r="L130" i="1"/>
  <c r="M130" i="1" s="1" a="1"/>
  <c r="M130" i="1" s="1"/>
  <c r="P129" i="1"/>
  <c r="L129" i="1"/>
  <c r="M129" i="1" s="1" a="1"/>
  <c r="M129" i="1" s="1"/>
  <c r="P128" i="1"/>
  <c r="L128" i="1"/>
  <c r="M128" i="1" s="1" a="1"/>
  <c r="M128" i="1" s="1"/>
  <c r="P127" i="1"/>
  <c r="L127" i="1"/>
  <c r="M127" i="1" s="1" a="1"/>
  <c r="M127" i="1" s="1"/>
  <c r="P126" i="1"/>
  <c r="L126" i="1"/>
  <c r="M126" i="1" s="1" a="1"/>
  <c r="M126" i="1" s="1"/>
  <c r="P125" i="1"/>
  <c r="L125" i="1"/>
  <c r="M125" i="1" s="1" a="1"/>
  <c r="M125" i="1" s="1"/>
  <c r="P124" i="1"/>
  <c r="L124" i="1"/>
  <c r="M124" i="1" s="1" a="1"/>
  <c r="M124" i="1" s="1"/>
  <c r="P123" i="1"/>
  <c r="L123" i="1"/>
  <c r="M123" i="1" s="1" a="1"/>
  <c r="M123" i="1" s="1"/>
  <c r="P122" i="1"/>
  <c r="L122" i="1"/>
  <c r="M122" i="1" s="1" a="1"/>
  <c r="M122" i="1" s="1"/>
  <c r="P121" i="1"/>
  <c r="L121" i="1"/>
  <c r="M121" i="1" s="1" a="1"/>
  <c r="M121" i="1" s="1"/>
  <c r="P120" i="1"/>
  <c r="L120" i="1"/>
  <c r="M120" i="1" s="1" a="1"/>
  <c r="M120" i="1" s="1"/>
  <c r="P119" i="1"/>
  <c r="L119" i="1"/>
  <c r="M119" i="1" s="1" a="1"/>
  <c r="M119" i="1" s="1"/>
  <c r="P118" i="1"/>
  <c r="L118" i="1"/>
  <c r="M118" i="1" s="1" a="1"/>
  <c r="M118" i="1" s="1"/>
  <c r="P117" i="1"/>
  <c r="L117" i="1"/>
  <c r="M117" i="1" s="1" a="1"/>
  <c r="M117" i="1" s="1"/>
  <c r="P116" i="1"/>
  <c r="L116" i="1"/>
  <c r="M116" i="1" s="1" a="1"/>
  <c r="M116" i="1" s="1"/>
  <c r="P115" i="1"/>
  <c r="L115" i="1"/>
  <c r="M115" i="1" s="1" a="1"/>
  <c r="M115" i="1" s="1"/>
  <c r="P114" i="1"/>
  <c r="L114" i="1"/>
  <c r="M114" i="1" s="1" a="1"/>
  <c r="M114" i="1" s="1"/>
  <c r="P113" i="1"/>
  <c r="L113" i="1"/>
  <c r="M113" i="1" s="1" a="1"/>
  <c r="M113" i="1" s="1"/>
  <c r="P112" i="1"/>
  <c r="L112" i="1"/>
  <c r="M112" i="1" s="1" a="1"/>
  <c r="M112" i="1" s="1"/>
  <c r="P111" i="1"/>
  <c r="L111" i="1"/>
  <c r="M111" i="1" s="1" a="1"/>
  <c r="M111" i="1" s="1"/>
  <c r="P110" i="1"/>
  <c r="L110" i="1"/>
  <c r="M110" i="1" s="1" a="1"/>
  <c r="M110" i="1" s="1"/>
  <c r="P109" i="1"/>
  <c r="L109" i="1"/>
  <c r="M109" i="1" s="1" a="1"/>
  <c r="M109" i="1" s="1"/>
  <c r="P108" i="1"/>
  <c r="L108" i="1"/>
  <c r="M108" i="1" s="1" a="1"/>
  <c r="M108" i="1" s="1"/>
  <c r="P107" i="1"/>
  <c r="L107" i="1"/>
  <c r="M107" i="1" s="1" a="1"/>
  <c r="M107" i="1" s="1"/>
  <c r="P106" i="1"/>
  <c r="L106" i="1"/>
  <c r="M106" i="1" s="1" a="1"/>
  <c r="M106" i="1" s="1"/>
  <c r="P105" i="1"/>
  <c r="L105" i="1"/>
  <c r="M105" i="1" s="1" a="1"/>
  <c r="M105" i="1" s="1"/>
  <c r="P104" i="1"/>
  <c r="L104" i="1"/>
  <c r="M104" i="1" s="1" a="1"/>
  <c r="M104" i="1" s="1"/>
  <c r="P103" i="1"/>
  <c r="L103" i="1"/>
  <c r="M103" i="1" s="1" a="1"/>
  <c r="M103" i="1" s="1"/>
  <c r="P102" i="1"/>
  <c r="L102" i="1"/>
  <c r="M102" i="1" s="1" a="1"/>
  <c r="M102" i="1" s="1"/>
  <c r="P101" i="1"/>
  <c r="L101" i="1"/>
  <c r="M101" i="1" s="1" a="1"/>
  <c r="M101" i="1" s="1"/>
  <c r="P100" i="1"/>
  <c r="L100" i="1"/>
  <c r="M100" i="1" s="1" a="1"/>
  <c r="M100" i="1" s="1"/>
  <c r="P99" i="1"/>
  <c r="L99" i="1"/>
  <c r="M99" i="1" s="1" a="1"/>
  <c r="M99" i="1" s="1"/>
  <c r="P98" i="1"/>
  <c r="L98" i="1"/>
  <c r="M98" i="1" s="1" a="1"/>
  <c r="M98" i="1" s="1"/>
  <c r="P97" i="1"/>
  <c r="L97" i="1"/>
  <c r="M97" i="1" s="1" a="1"/>
  <c r="M97" i="1" s="1"/>
  <c r="P96" i="1"/>
  <c r="L96" i="1"/>
  <c r="M96" i="1" s="1" a="1"/>
  <c r="M96" i="1" s="1"/>
  <c r="P95" i="1"/>
  <c r="L95" i="1"/>
  <c r="M95" i="1" s="1" a="1"/>
  <c r="M95" i="1" s="1"/>
  <c r="P94" i="1"/>
  <c r="L94" i="1"/>
  <c r="M94" i="1" s="1" a="1"/>
  <c r="M94" i="1" s="1"/>
  <c r="P93" i="1"/>
  <c r="L93" i="1"/>
  <c r="M93" i="1" s="1" a="1"/>
  <c r="M93" i="1" s="1"/>
  <c r="P92" i="1"/>
  <c r="L92" i="1"/>
  <c r="M92" i="1" s="1" a="1"/>
  <c r="M92" i="1" s="1"/>
  <c r="P91" i="1"/>
  <c r="L91" i="1"/>
  <c r="M91" i="1" s="1" a="1"/>
  <c r="M91" i="1" s="1"/>
  <c r="P90" i="1"/>
  <c r="L90" i="1"/>
  <c r="M90" i="1" s="1" a="1"/>
  <c r="M90" i="1" s="1"/>
  <c r="P89" i="1"/>
  <c r="L89" i="1"/>
  <c r="M89" i="1" s="1" a="1"/>
  <c r="M89" i="1" s="1"/>
  <c r="P88" i="1"/>
  <c r="L88" i="1"/>
  <c r="M88" i="1" s="1" a="1"/>
  <c r="M88" i="1" s="1"/>
  <c r="P87" i="1"/>
  <c r="L87" i="1"/>
  <c r="M87" i="1" s="1" a="1"/>
  <c r="M87" i="1" s="1"/>
  <c r="P86" i="1"/>
  <c r="L86" i="1"/>
  <c r="M86" i="1" s="1" a="1"/>
  <c r="M86" i="1" s="1"/>
  <c r="P85" i="1"/>
  <c r="L85" i="1"/>
  <c r="M85" i="1" s="1" a="1"/>
  <c r="M85" i="1" s="1"/>
  <c r="P84" i="1"/>
  <c r="L84" i="1"/>
  <c r="M84" i="1" s="1" a="1"/>
  <c r="M84" i="1" s="1"/>
  <c r="P83" i="1"/>
  <c r="L83" i="1"/>
  <c r="M83" i="1" s="1" a="1"/>
  <c r="M83" i="1" s="1"/>
  <c r="P82" i="1"/>
  <c r="L82" i="1"/>
  <c r="M82" i="1" s="1" a="1"/>
  <c r="M82" i="1" s="1"/>
  <c r="P81" i="1"/>
  <c r="L81" i="1"/>
  <c r="M81" i="1" s="1" a="1"/>
  <c r="M81" i="1" s="1"/>
  <c r="P80" i="1"/>
  <c r="L80" i="1"/>
  <c r="M80" i="1" s="1" a="1"/>
  <c r="M80" i="1" s="1"/>
  <c r="P79" i="1"/>
  <c r="L79" i="1"/>
  <c r="M79" i="1" s="1" a="1"/>
  <c r="M79" i="1" s="1"/>
  <c r="P78" i="1"/>
  <c r="L78" i="1"/>
  <c r="M78" i="1" s="1" a="1"/>
  <c r="M78" i="1" s="1"/>
  <c r="P77" i="1"/>
  <c r="L77" i="1"/>
  <c r="M77" i="1" s="1" a="1"/>
  <c r="M77" i="1" s="1"/>
  <c r="P76" i="1"/>
  <c r="L76" i="1"/>
  <c r="M76" i="1" s="1" a="1"/>
  <c r="M76" i="1" s="1"/>
  <c r="P75" i="1"/>
  <c r="L75" i="1"/>
  <c r="M75" i="1" s="1" a="1"/>
  <c r="M75" i="1" s="1"/>
  <c r="P74" i="1"/>
  <c r="L74" i="1"/>
  <c r="M74" i="1" s="1" a="1"/>
  <c r="M74" i="1" s="1"/>
  <c r="P73" i="1"/>
  <c r="L73" i="1"/>
  <c r="M73" i="1" s="1" a="1"/>
  <c r="M73" i="1" s="1"/>
  <c r="P72" i="1"/>
  <c r="L72" i="1"/>
  <c r="M72" i="1" s="1" a="1"/>
  <c r="M72" i="1" s="1"/>
  <c r="P71" i="1"/>
  <c r="L71" i="1"/>
  <c r="M71" i="1" s="1" a="1"/>
  <c r="M71" i="1" s="1"/>
  <c r="P70" i="1"/>
  <c r="L70" i="1"/>
  <c r="M70" i="1" s="1" a="1"/>
  <c r="M70" i="1" s="1"/>
  <c r="P69" i="1"/>
  <c r="L69" i="1"/>
  <c r="M69" i="1" s="1" a="1"/>
  <c r="M69" i="1" s="1"/>
  <c r="P68" i="1"/>
  <c r="L68" i="1"/>
  <c r="M68" i="1" s="1" a="1"/>
  <c r="M68" i="1" s="1"/>
  <c r="P67" i="1"/>
  <c r="L67" i="1"/>
  <c r="M67" i="1" s="1" a="1"/>
  <c r="M67" i="1" s="1"/>
  <c r="P66" i="1"/>
  <c r="L66" i="1"/>
  <c r="M66" i="1" s="1" a="1"/>
  <c r="M66" i="1" s="1"/>
  <c r="P65" i="1"/>
  <c r="L65" i="1"/>
  <c r="M65" i="1" s="1" a="1"/>
  <c r="M65" i="1" s="1"/>
  <c r="P64" i="1"/>
  <c r="L64" i="1"/>
  <c r="M64" i="1" s="1" a="1"/>
  <c r="M64" i="1" s="1"/>
  <c r="P63" i="1"/>
  <c r="L63" i="1"/>
  <c r="M63" i="1" s="1" a="1"/>
  <c r="M63" i="1" s="1"/>
  <c r="P62" i="1"/>
  <c r="L62" i="1"/>
  <c r="M62" i="1" s="1" a="1"/>
  <c r="M62" i="1" s="1"/>
  <c r="P61" i="1"/>
  <c r="L61" i="1"/>
  <c r="M61" i="1" s="1" a="1"/>
  <c r="M61" i="1" s="1"/>
  <c r="P60" i="1"/>
  <c r="L60" i="1"/>
  <c r="M60" i="1" s="1" a="1"/>
  <c r="M60" i="1" s="1"/>
  <c r="P59" i="1"/>
  <c r="L59" i="1"/>
  <c r="M59" i="1" s="1" a="1"/>
  <c r="M59" i="1" s="1"/>
  <c r="P58" i="1"/>
  <c r="L58" i="1"/>
  <c r="M58" i="1" s="1" a="1"/>
  <c r="M58" i="1" s="1"/>
  <c r="P57" i="1"/>
  <c r="L57" i="1"/>
  <c r="M57" i="1" s="1" a="1"/>
  <c r="M57" i="1" s="1"/>
  <c r="P56" i="1"/>
  <c r="L56" i="1"/>
  <c r="M56" i="1" s="1" a="1"/>
  <c r="M56" i="1" s="1"/>
  <c r="P55" i="1"/>
  <c r="L55" i="1"/>
  <c r="M55" i="1" s="1" a="1"/>
  <c r="M55" i="1" s="1"/>
  <c r="P54" i="1"/>
  <c r="L54" i="1"/>
  <c r="M54" i="1" s="1" a="1"/>
  <c r="M54" i="1" s="1"/>
  <c r="P53" i="1"/>
  <c r="L53" i="1"/>
  <c r="M53" i="1" s="1" a="1"/>
  <c r="M53" i="1" s="1"/>
  <c r="P52" i="1"/>
  <c r="L52" i="1"/>
  <c r="M52" i="1" s="1" a="1"/>
  <c r="M52" i="1" s="1"/>
  <c r="P51" i="1"/>
  <c r="L51" i="1"/>
  <c r="M51" i="1" s="1" a="1"/>
  <c r="M51" i="1" s="1"/>
  <c r="P50" i="1"/>
  <c r="L50" i="1"/>
  <c r="M50" i="1" s="1" a="1"/>
  <c r="M50" i="1" s="1"/>
  <c r="P49" i="1"/>
  <c r="L49" i="1"/>
  <c r="M49" i="1" s="1" a="1"/>
  <c r="M49" i="1" s="1"/>
  <c r="P48" i="1"/>
  <c r="L48" i="1"/>
  <c r="M48" i="1" s="1" a="1"/>
  <c r="M48" i="1" s="1"/>
  <c r="P47" i="1"/>
  <c r="L47" i="1"/>
  <c r="M47" i="1" s="1" a="1"/>
  <c r="M47" i="1" s="1"/>
  <c r="P46" i="1"/>
  <c r="L46" i="1"/>
  <c r="M46" i="1" s="1" a="1"/>
  <c r="M46" i="1" s="1"/>
  <c r="P45" i="1"/>
  <c r="L45" i="1"/>
  <c r="M45" i="1" s="1" a="1"/>
  <c r="M45" i="1" s="1"/>
  <c r="P44" i="1"/>
  <c r="L44" i="1"/>
  <c r="M44" i="1" s="1" a="1"/>
  <c r="M44" i="1" s="1"/>
  <c r="P43" i="1"/>
  <c r="L43" i="1"/>
  <c r="M43" i="1" s="1" a="1"/>
  <c r="M43" i="1" s="1"/>
  <c r="P42" i="1"/>
  <c r="L42" i="1"/>
  <c r="M42" i="1" s="1" a="1"/>
  <c r="M42" i="1" s="1"/>
  <c r="P41" i="1"/>
  <c r="L41" i="1"/>
  <c r="M41" i="1" s="1" a="1"/>
  <c r="M41" i="1" s="1"/>
  <c r="P40" i="1"/>
  <c r="L40" i="1"/>
  <c r="M40" i="1" s="1" a="1"/>
  <c r="M40" i="1" s="1"/>
  <c r="P39" i="1"/>
  <c r="L39" i="1"/>
  <c r="M39" i="1" s="1" a="1"/>
  <c r="M39" i="1" s="1"/>
  <c r="P38" i="1"/>
  <c r="L38" i="1"/>
  <c r="M38" i="1" s="1" a="1"/>
  <c r="M38" i="1" s="1"/>
  <c r="P37" i="1"/>
  <c r="L37" i="1"/>
  <c r="M37" i="1" s="1" a="1"/>
  <c r="M37" i="1" s="1"/>
  <c r="P36" i="1"/>
  <c r="L36" i="1"/>
  <c r="M36" i="1" s="1" a="1"/>
  <c r="M36" i="1" s="1"/>
  <c r="P35" i="1"/>
  <c r="L35" i="1"/>
  <c r="M35" i="1" s="1" a="1"/>
  <c r="M35" i="1" s="1"/>
  <c r="P34" i="1"/>
  <c r="L34" i="1"/>
  <c r="M34" i="1" s="1" a="1"/>
  <c r="M34" i="1" s="1"/>
  <c r="P33" i="1"/>
  <c r="L33" i="1"/>
  <c r="M33" i="1" s="1" a="1"/>
  <c r="M33" i="1" s="1"/>
  <c r="P32" i="1"/>
  <c r="L32" i="1"/>
  <c r="M32" i="1" s="1" a="1"/>
  <c r="M32" i="1" s="1"/>
  <c r="P31" i="1"/>
  <c r="L31" i="1"/>
  <c r="M31" i="1" s="1" a="1"/>
  <c r="M31" i="1" s="1"/>
  <c r="P30" i="1"/>
  <c r="L30" i="1"/>
  <c r="M30" i="1" s="1" a="1"/>
  <c r="M30" i="1" s="1"/>
  <c r="P29" i="1"/>
  <c r="L29" i="1"/>
  <c r="M29" i="1" s="1" a="1"/>
  <c r="M29" i="1" s="1"/>
  <c r="P28" i="1"/>
  <c r="L28" i="1"/>
  <c r="M28" i="1" s="1" a="1"/>
  <c r="M28" i="1" s="1"/>
  <c r="P27" i="1"/>
  <c r="L27" i="1"/>
  <c r="M27" i="1" s="1" a="1"/>
  <c r="M27" i="1" s="1"/>
  <c r="P26" i="1"/>
  <c r="L26" i="1"/>
  <c r="M26" i="1" s="1" a="1"/>
  <c r="M26" i="1" s="1"/>
  <c r="P25" i="1"/>
  <c r="L25" i="1"/>
  <c r="M25" i="1" s="1" a="1"/>
  <c r="M25" i="1" s="1"/>
  <c r="P24" i="1"/>
  <c r="L24" i="1"/>
  <c r="M24" i="1" s="1" a="1"/>
  <c r="M24" i="1" s="1"/>
  <c r="P23" i="1"/>
  <c r="L23" i="1"/>
  <c r="M23" i="1" s="1" a="1"/>
  <c r="M23" i="1" s="1"/>
  <c r="P22" i="1"/>
  <c r="L22" i="1"/>
  <c r="M22" i="1" s="1" a="1"/>
  <c r="M22" i="1" s="1"/>
  <c r="P21" i="1"/>
  <c r="L21" i="1"/>
  <c r="M21" i="1" s="1" a="1"/>
  <c r="M21" i="1" s="1"/>
  <c r="P20" i="1"/>
  <c r="L20" i="1"/>
  <c r="M20" i="1" s="1" a="1"/>
  <c r="M20" i="1" s="1"/>
  <c r="P19" i="1"/>
  <c r="L19" i="1"/>
  <c r="M19" i="1" s="1" a="1"/>
  <c r="M19" i="1" s="1"/>
  <c r="P18" i="1"/>
  <c r="L18" i="1"/>
  <c r="M18" i="1" s="1" a="1"/>
  <c r="M18" i="1" s="1"/>
  <c r="P17" i="1"/>
  <c r="L17" i="1"/>
  <c r="M17" i="1" s="1" a="1"/>
  <c r="M17" i="1" s="1"/>
  <c r="P16" i="1"/>
  <c r="L16" i="1"/>
  <c r="M16" i="1" s="1" a="1"/>
  <c r="M16" i="1" s="1"/>
  <c r="P15" i="1"/>
  <c r="L15" i="1"/>
  <c r="M15" i="1" s="1" a="1"/>
  <c r="M15" i="1" s="1"/>
  <c r="P14" i="1"/>
  <c r="L14" i="1"/>
  <c r="M14" i="1" s="1" a="1"/>
  <c r="M14" i="1" s="1"/>
  <c r="P13" i="1"/>
  <c r="L13" i="1"/>
  <c r="M13" i="1" s="1" a="1"/>
  <c r="M13" i="1" s="1"/>
  <c r="P12" i="1"/>
  <c r="L12" i="1"/>
  <c r="M12" i="1" s="1" a="1"/>
  <c r="M12" i="1" s="1"/>
  <c r="P11" i="1"/>
  <c r="L11" i="1"/>
  <c r="M11" i="1" s="1" a="1"/>
  <c r="M11" i="1" s="1"/>
  <c r="P10" i="1"/>
  <c r="L10" i="1"/>
  <c r="M10" i="1" s="1" a="1"/>
  <c r="M10" i="1" s="1"/>
  <c r="P9" i="1"/>
  <c r="L9" i="1"/>
  <c r="M9" i="1" s="1" a="1"/>
  <c r="M9" i="1" s="1"/>
  <c r="P8" i="1"/>
  <c r="L8" i="1"/>
  <c r="M8" i="1" s="1" a="1"/>
  <c r="M8" i="1" s="1"/>
  <c r="P7" i="1"/>
  <c r="L7" i="1"/>
  <c r="M7" i="1" s="1" a="1"/>
  <c r="M7" i="1" s="1"/>
  <c r="P6" i="1"/>
  <c r="L6" i="1"/>
  <c r="M6" i="1" s="1" a="1"/>
  <c r="M6" i="1" s="1"/>
  <c r="P5" i="1"/>
  <c r="L5" i="1"/>
  <c r="M5" i="1" s="1" a="1"/>
  <c r="M5" i="1" s="1"/>
  <c r="P4" i="1"/>
  <c r="L4" i="1"/>
  <c r="M4" i="1" s="1" a="1"/>
  <c r="M4" i="1" s="1"/>
  <c r="L3" i="1"/>
  <c r="P2" i="1"/>
  <c r="L2" i="1"/>
  <c r="M2" i="1" s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<sst xmlns="http://schemas.openxmlformats.org/spreadsheetml/2006/main" count="3186" uniqueCount="768">
  <si>
    <t>Student Number</t>
  </si>
  <si>
    <t>Last Name</t>
  </si>
  <si>
    <t>First Name</t>
  </si>
  <si>
    <t>Middle Name</t>
  </si>
  <si>
    <t>Distance to School (km)</t>
  </si>
  <si>
    <t>Age</t>
  </si>
  <si>
    <t>Gender</t>
  </si>
  <si>
    <t>SS2/OG/001</t>
  </si>
  <si>
    <t>SS2/OG/002</t>
  </si>
  <si>
    <t>SS2/OG/003</t>
  </si>
  <si>
    <t>SS2/OG/004</t>
  </si>
  <si>
    <t>SS2/OG/005</t>
  </si>
  <si>
    <t>SS2/OG/006</t>
  </si>
  <si>
    <t>SS2/OG/007</t>
  </si>
  <si>
    <t>SS2/OG/008</t>
  </si>
  <si>
    <t>SS2/OG/009</t>
  </si>
  <si>
    <t>SS2/OG/010</t>
  </si>
  <si>
    <t>SS2/OG/011</t>
  </si>
  <si>
    <t>SS2/OG/012</t>
  </si>
  <si>
    <t>SS2/OG/013</t>
  </si>
  <si>
    <t>SS2/OG/014</t>
  </si>
  <si>
    <t>SS2/OG/015</t>
  </si>
  <si>
    <t>SS2/OG/016</t>
  </si>
  <si>
    <t>SS2/OG/017</t>
  </si>
  <si>
    <t>SS2/OG/018</t>
  </si>
  <si>
    <t>SS2/OG/019</t>
  </si>
  <si>
    <t>SS2/OG/020</t>
  </si>
  <si>
    <t>SS2/OG/021</t>
  </si>
  <si>
    <t>SS2/OG/022</t>
  </si>
  <si>
    <t>SS2/OG/023</t>
  </si>
  <si>
    <t>SS2/OG/024</t>
  </si>
  <si>
    <t>SS2/OG/025</t>
  </si>
  <si>
    <t>SS2/OG/026</t>
  </si>
  <si>
    <t>SS2/OG/027</t>
  </si>
  <si>
    <t>SS2/OG/028</t>
  </si>
  <si>
    <t>SS2/OG/029</t>
  </si>
  <si>
    <t>SS2/OG/030</t>
  </si>
  <si>
    <t>SS2/OG/031</t>
  </si>
  <si>
    <t>SS2/OG/032</t>
  </si>
  <si>
    <t>SS2/OG/033</t>
  </si>
  <si>
    <t>SS2/OG/034</t>
  </si>
  <si>
    <t>SS2/OG/035</t>
  </si>
  <si>
    <t>SS2/OG/036</t>
  </si>
  <si>
    <t>SS2/OG/037</t>
  </si>
  <si>
    <t>SS2/OG/038</t>
  </si>
  <si>
    <t>SS2/OG/039</t>
  </si>
  <si>
    <t>SS2/OG/040</t>
  </si>
  <si>
    <t>SS2/OG/041</t>
  </si>
  <si>
    <t>SS2/OG/042</t>
  </si>
  <si>
    <t>SS2/OG/043</t>
  </si>
  <si>
    <t>SS2/OG/044</t>
  </si>
  <si>
    <t>SS2/OG/045</t>
  </si>
  <si>
    <t>SS2/OG/046</t>
  </si>
  <si>
    <t>SS2/OG/047</t>
  </si>
  <si>
    <t>SS2/OG/048</t>
  </si>
  <si>
    <t>SS2/OG/049</t>
  </si>
  <si>
    <t>SS2/OG/050</t>
  </si>
  <si>
    <t>SS2/OG/051</t>
  </si>
  <si>
    <t>SS2/OG/052</t>
  </si>
  <si>
    <t>SS2/OG/053</t>
  </si>
  <si>
    <t>SS2/OG/054</t>
  </si>
  <si>
    <t>SS2/OG/055</t>
  </si>
  <si>
    <t>SS2/OG/056</t>
  </si>
  <si>
    <t>SS2/OG/057</t>
  </si>
  <si>
    <t>SS2/OG/058</t>
  </si>
  <si>
    <t>SS2/OG/059</t>
  </si>
  <si>
    <t>SS2/OG/060</t>
  </si>
  <si>
    <t>SS2/OG/061</t>
  </si>
  <si>
    <t>SS2/OG/062</t>
  </si>
  <si>
    <t>SS2/OG/063</t>
  </si>
  <si>
    <t>SS2/OG/064</t>
  </si>
  <si>
    <t>SS2/OG/065</t>
  </si>
  <si>
    <t>SS2/OG/066</t>
  </si>
  <si>
    <t>SS2/OG/067</t>
  </si>
  <si>
    <t>SS2/OG/068</t>
  </si>
  <si>
    <t>SS2/OG/069</t>
  </si>
  <si>
    <t>SS2/OG/070</t>
  </si>
  <si>
    <t>SS2/OG/071</t>
  </si>
  <si>
    <t>SS2/OG/072</t>
  </si>
  <si>
    <t>SS2/OG/073</t>
  </si>
  <si>
    <t>SS2/OG/074</t>
  </si>
  <si>
    <t>SS2/OG/075</t>
  </si>
  <si>
    <t>SS2/OG/076</t>
  </si>
  <si>
    <t>SS2/OG/077</t>
  </si>
  <si>
    <t>SS2/OG/078</t>
  </si>
  <si>
    <t>SS2/OG/079</t>
  </si>
  <si>
    <t>SS2/OG/080</t>
  </si>
  <si>
    <t>SS2/OG/081</t>
  </si>
  <si>
    <t>SS2/OG/082</t>
  </si>
  <si>
    <t>SS2/OG/083</t>
  </si>
  <si>
    <t>SS2/OG/084</t>
  </si>
  <si>
    <t>SS2/OG/085</t>
  </si>
  <si>
    <t>SS2/OG/086</t>
  </si>
  <si>
    <t>SS2/OG/087</t>
  </si>
  <si>
    <t>SS2/OG/088</t>
  </si>
  <si>
    <t>SS2/OG/089</t>
  </si>
  <si>
    <t>SS2/OG/090</t>
  </si>
  <si>
    <t>SS2/OG/091</t>
  </si>
  <si>
    <t>SS2/OG/092</t>
  </si>
  <si>
    <t>SS2/OG/093</t>
  </si>
  <si>
    <t>SS2/OG/094</t>
  </si>
  <si>
    <t>SS2/OG/095</t>
  </si>
  <si>
    <t>SS2/OG/096</t>
  </si>
  <si>
    <t>SS2/OG/097</t>
  </si>
  <si>
    <t>SS2/OG/098</t>
  </si>
  <si>
    <t>SS2/OG/099</t>
  </si>
  <si>
    <t>SS2/OG/100</t>
  </si>
  <si>
    <t>SS2/OG/101</t>
  </si>
  <si>
    <t>SS2/OG/102</t>
  </si>
  <si>
    <t>SS2/OG/103</t>
  </si>
  <si>
    <t>SS2/OG/104</t>
  </si>
  <si>
    <t>SS2/OG/105</t>
  </si>
  <si>
    <t>SS2/OG/106</t>
  </si>
  <si>
    <t>SS2/OG/107</t>
  </si>
  <si>
    <t>SS2/OG/108</t>
  </si>
  <si>
    <t>SS2/OG/109</t>
  </si>
  <si>
    <t>SS2/OG/110</t>
  </si>
  <si>
    <t>SS2/OG/111</t>
  </si>
  <si>
    <t>SS2/OG/112</t>
  </si>
  <si>
    <t>SS2/OG/113</t>
  </si>
  <si>
    <t>SS2/OG/114</t>
  </si>
  <si>
    <t>SS2/OG/115</t>
  </si>
  <si>
    <t>SS2/OG/116</t>
  </si>
  <si>
    <t>SS2/OG/117</t>
  </si>
  <si>
    <t>SS2/OG/118</t>
  </si>
  <si>
    <t>SS2/OG/119</t>
  </si>
  <si>
    <t>SS2/OG/120</t>
  </si>
  <si>
    <t>SS2/OG/121</t>
  </si>
  <si>
    <t>SS2/OG/122</t>
  </si>
  <si>
    <t>SS2/OG/123</t>
  </si>
  <si>
    <t>SS2/OG/124</t>
  </si>
  <si>
    <t>SS2/OG/125</t>
  </si>
  <si>
    <t>SS2/OG/126</t>
  </si>
  <si>
    <t>SS2/OG/127</t>
  </si>
  <si>
    <t>SS2/OG/128</t>
  </si>
  <si>
    <t>SS2/OG/129</t>
  </si>
  <si>
    <t>SS2/OG/130</t>
  </si>
  <si>
    <t>SS2/OG/131</t>
  </si>
  <si>
    <t>SS2/OG/132</t>
  </si>
  <si>
    <t>SS2/OG/133</t>
  </si>
  <si>
    <t>SS2/OG/134</t>
  </si>
  <si>
    <t>SS2/OG/135</t>
  </si>
  <si>
    <t>SS2/OG/136</t>
  </si>
  <si>
    <t>SS2/OG/137</t>
  </si>
  <si>
    <t>SS2/OG/138</t>
  </si>
  <si>
    <t>SS2/OG/139</t>
  </si>
  <si>
    <t>SS2/OG/140</t>
  </si>
  <si>
    <t>SS2/OG/141</t>
  </si>
  <si>
    <t>SS2/OG/142</t>
  </si>
  <si>
    <t>SS2/OG/143</t>
  </si>
  <si>
    <t>SS2/OG/144</t>
  </si>
  <si>
    <t>SS2/OG/145</t>
  </si>
  <si>
    <t>SS2/OG/146</t>
  </si>
  <si>
    <t>SS2/OG/147</t>
  </si>
  <si>
    <t>SS2/OG/148</t>
  </si>
  <si>
    <t>SS2/OG/149</t>
  </si>
  <si>
    <t>SS2/OG/150</t>
  </si>
  <si>
    <t>SS2/OG/151</t>
  </si>
  <si>
    <t>SS2/OG/152</t>
  </si>
  <si>
    <t>SS2/OG/153</t>
  </si>
  <si>
    <t>SS2/OG/154</t>
  </si>
  <si>
    <t>SS2/OG/155</t>
  </si>
  <si>
    <t>SS2/OG/156</t>
  </si>
  <si>
    <t>SS2/OG/157</t>
  </si>
  <si>
    <t>SS2/OG/158</t>
  </si>
  <si>
    <t>SS2/OG/159</t>
  </si>
  <si>
    <t>SS2/OG/160</t>
  </si>
  <si>
    <t>SS2/OG/161</t>
  </si>
  <si>
    <t>SS2/OG/162</t>
  </si>
  <si>
    <t>SS2/OG/163</t>
  </si>
  <si>
    <t>SS2/OG/164</t>
  </si>
  <si>
    <t>SS2/OG/165</t>
  </si>
  <si>
    <t>SS2/OG/166</t>
  </si>
  <si>
    <t>SS2/OG/167</t>
  </si>
  <si>
    <t>SS2/OG/168</t>
  </si>
  <si>
    <t>SS2/OG/169</t>
  </si>
  <si>
    <t>SS2/OG/170</t>
  </si>
  <si>
    <t>SS2/OG/171</t>
  </si>
  <si>
    <t>SS2/OG/172</t>
  </si>
  <si>
    <t>SS2/OG/173</t>
  </si>
  <si>
    <t>SS2/OG/174</t>
  </si>
  <si>
    <t>SS2/OG/175</t>
  </si>
  <si>
    <t>SS2/OG/176</t>
  </si>
  <si>
    <t>SS2/OG/177</t>
  </si>
  <si>
    <t>SS2/OG/178</t>
  </si>
  <si>
    <t>SS2/OG/179</t>
  </si>
  <si>
    <t>SS2/OG/180</t>
  </si>
  <si>
    <t>SS2/OG/181</t>
  </si>
  <si>
    <t>SS2/OG/182</t>
  </si>
  <si>
    <t>SS2/OG/183</t>
  </si>
  <si>
    <t>SS2/OG/184</t>
  </si>
  <si>
    <t>SS2/OG/185</t>
  </si>
  <si>
    <t>SS2/OG/186</t>
  </si>
  <si>
    <t>SS2/OG/187</t>
  </si>
  <si>
    <t>SS2/OG/188</t>
  </si>
  <si>
    <t>SS2/OG/189</t>
  </si>
  <si>
    <t>SS2/OG/190</t>
  </si>
  <si>
    <t>SS2/OG/191</t>
  </si>
  <si>
    <t>SS2/OG/192</t>
  </si>
  <si>
    <t>SS2/OG/193</t>
  </si>
  <si>
    <t>SS2/OG/194</t>
  </si>
  <si>
    <t>SS2/OG/195</t>
  </si>
  <si>
    <t>SS2/OG/196</t>
  </si>
  <si>
    <t>SS2/OG/197</t>
  </si>
  <si>
    <t>SS2/OG/198</t>
  </si>
  <si>
    <t>SS2/OG/199</t>
  </si>
  <si>
    <t>SS2/OG/200</t>
  </si>
  <si>
    <t>SS2/OG/201</t>
  </si>
  <si>
    <t>SS2/OG/202</t>
  </si>
  <si>
    <t>SS2/OG/203</t>
  </si>
  <si>
    <t>SS2/OG/204</t>
  </si>
  <si>
    <t>SS2/OG/205</t>
  </si>
  <si>
    <t>SS2/OG/206</t>
  </si>
  <si>
    <t>SS2/OG/207</t>
  </si>
  <si>
    <t>SS2/OG/208</t>
  </si>
  <si>
    <t>SS2/OG/209</t>
  </si>
  <si>
    <t>SS2/OG/210</t>
  </si>
  <si>
    <t>SS2/OG/211</t>
  </si>
  <si>
    <t>SS2/OG/212</t>
  </si>
  <si>
    <t>SS2/OG/213</t>
  </si>
  <si>
    <t>SS2/OG/214</t>
  </si>
  <si>
    <t>SS2/OG/215</t>
  </si>
  <si>
    <t>SS2/OG/216</t>
  </si>
  <si>
    <t>SS2/OG/217</t>
  </si>
  <si>
    <t>SS2/OG/218</t>
  </si>
  <si>
    <t>SS2/OG/219</t>
  </si>
  <si>
    <t>SS2/OG/220</t>
  </si>
  <si>
    <t>SS2/OG/221</t>
  </si>
  <si>
    <t>SS2/OG/222</t>
  </si>
  <si>
    <t>SS2/OG/223</t>
  </si>
  <si>
    <t>SS2/OG/224</t>
  </si>
  <si>
    <t>SS2/OG/225</t>
  </si>
  <si>
    <t>SS2/OG/226</t>
  </si>
  <si>
    <t>SS2/OG/227</t>
  </si>
  <si>
    <t>SS2/OG/228</t>
  </si>
  <si>
    <t>SS2/OG/229</t>
  </si>
  <si>
    <t>SS2/OG/230</t>
  </si>
  <si>
    <t>SS2/OG/231</t>
  </si>
  <si>
    <t>SS2/OG/232</t>
  </si>
  <si>
    <t>SS2/OG/233</t>
  </si>
  <si>
    <t>SS2/OG/234</t>
  </si>
  <si>
    <t>SS2/OG/235</t>
  </si>
  <si>
    <t>SS2/OG/236</t>
  </si>
  <si>
    <t>SS2/OG/237</t>
  </si>
  <si>
    <t>SS2/OG/238</t>
  </si>
  <si>
    <t>SS2/OG/239</t>
  </si>
  <si>
    <t>SS2/OG/240</t>
  </si>
  <si>
    <t>SS2/OG/241</t>
  </si>
  <si>
    <t>SS2/OG/242</t>
  </si>
  <si>
    <t>SS2/OG/243</t>
  </si>
  <si>
    <t>SS2/OG/244</t>
  </si>
  <si>
    <t>SS2/OG/245</t>
  </si>
  <si>
    <t>SS2/OG/246</t>
  </si>
  <si>
    <t>SS2/OG/247</t>
  </si>
  <si>
    <t>SS2/OG/248</t>
  </si>
  <si>
    <t>SS2/OG/249</t>
  </si>
  <si>
    <t>SS2/OG/250</t>
  </si>
  <si>
    <t>SS2/OG/251</t>
  </si>
  <si>
    <t>SS2/OG/252</t>
  </si>
  <si>
    <t>SS2/OG/253</t>
  </si>
  <si>
    <t>SS2/OG/254</t>
  </si>
  <si>
    <t>SS2/OG/255</t>
  </si>
  <si>
    <t>SS2/OG/256</t>
  </si>
  <si>
    <t>SS2/OG/257</t>
  </si>
  <si>
    <t>SS2/OG/258</t>
  </si>
  <si>
    <t>SS2/OG/259</t>
  </si>
  <si>
    <t>SS2/OG/260</t>
  </si>
  <si>
    <t>SS2/OG/261</t>
  </si>
  <si>
    <t>SS2/OG/262</t>
  </si>
  <si>
    <t>SS2/OG/263</t>
  </si>
  <si>
    <t>SS2/OG/264</t>
  </si>
  <si>
    <t>SS2/OG/265</t>
  </si>
  <si>
    <t>SS2/OG/266</t>
  </si>
  <si>
    <t>SS2/OG/267</t>
  </si>
  <si>
    <t>SS2/OG/268</t>
  </si>
  <si>
    <t>SS2/OG/269</t>
  </si>
  <si>
    <t>SS2/OG/270</t>
  </si>
  <si>
    <t>SS2/OG/271</t>
  </si>
  <si>
    <t>SS2/OG/272</t>
  </si>
  <si>
    <t>SS2/OG/273</t>
  </si>
  <si>
    <t>SS2/OG/274</t>
  </si>
  <si>
    <t>SS2/OG/275</t>
  </si>
  <si>
    <t>SS2/OG/276</t>
  </si>
  <si>
    <t>SS2/OG/277</t>
  </si>
  <si>
    <t>SS2/OG/278</t>
  </si>
  <si>
    <t>SS2/OG/279</t>
  </si>
  <si>
    <t>SS2/OG/280</t>
  </si>
  <si>
    <t>SS2/OG/281</t>
  </si>
  <si>
    <t>SS2/OG/282</t>
  </si>
  <si>
    <t>SS2/OG/283</t>
  </si>
  <si>
    <t>SS2/OG/284</t>
  </si>
  <si>
    <t>SS2/OG/285</t>
  </si>
  <si>
    <t>SS2/OG/286</t>
  </si>
  <si>
    <t>SS2/OG/287</t>
  </si>
  <si>
    <t>SS2/OG/288</t>
  </si>
  <si>
    <t>SS2/OG/289</t>
  </si>
  <si>
    <t>SS2/OG/290</t>
  </si>
  <si>
    <t>SS2/OG/291</t>
  </si>
  <si>
    <t>SS2/OG/292</t>
  </si>
  <si>
    <t>SS2/OG/293</t>
  </si>
  <si>
    <t>SS2/OG/294</t>
  </si>
  <si>
    <t>SS2/OG/295</t>
  </si>
  <si>
    <t>SS2/OG/296</t>
  </si>
  <si>
    <t>SS2/OG/297</t>
  </si>
  <si>
    <t>SS2/OG/298</t>
  </si>
  <si>
    <t>SS2/OG/299</t>
  </si>
  <si>
    <t>SS2/OG/300</t>
  </si>
  <si>
    <t>SS2/OG/301</t>
  </si>
  <si>
    <t>SS2/OG/302</t>
  </si>
  <si>
    <t>SS2/OG/303</t>
  </si>
  <si>
    <t>SS2/OG/304</t>
  </si>
  <si>
    <t>SS2/OG/305</t>
  </si>
  <si>
    <t>SS2/OG/306</t>
  </si>
  <si>
    <t>SS2/OG/307</t>
  </si>
  <si>
    <t>SS2/OG/308</t>
  </si>
  <si>
    <t>SS2/OG/309</t>
  </si>
  <si>
    <t>SS2/OG/310</t>
  </si>
  <si>
    <t>SS2/OG/311</t>
  </si>
  <si>
    <t>SS2/OG/312</t>
  </si>
  <si>
    <t>SS2/OG/313</t>
  </si>
  <si>
    <t>SS2/OG/314</t>
  </si>
  <si>
    <t>SS2/OG/315</t>
  </si>
  <si>
    <t>SS2/OG/316</t>
  </si>
  <si>
    <t>SS2/OG/317</t>
  </si>
  <si>
    <t>SS2/OG/318</t>
  </si>
  <si>
    <t>SS2/OG/319</t>
  </si>
  <si>
    <t>SS2/OG/320</t>
  </si>
  <si>
    <t>SS2/OG/321</t>
  </si>
  <si>
    <t>SS2/OG/322</t>
  </si>
  <si>
    <t>SS2/OG/323</t>
  </si>
  <si>
    <t>SS2/OG/324</t>
  </si>
  <si>
    <t>SS2/OG/325</t>
  </si>
  <si>
    <t>SS2/OG/326</t>
  </si>
  <si>
    <t>SS2/OG/327</t>
  </si>
  <si>
    <t>SS2/OG/328</t>
  </si>
  <si>
    <t>SS2/OG/329</t>
  </si>
  <si>
    <t>SS2/OG/330</t>
  </si>
  <si>
    <t>SS2/OG/331</t>
  </si>
  <si>
    <t>SS2/OG/332</t>
  </si>
  <si>
    <t>SS2/OG/333</t>
  </si>
  <si>
    <t>SS2/OG/334</t>
  </si>
  <si>
    <t>SS2/OG/335</t>
  </si>
  <si>
    <t>SS2/OG/336</t>
  </si>
  <si>
    <t>SS2/OG/337</t>
  </si>
  <si>
    <t>SS2/OG/338</t>
  </si>
  <si>
    <t>SS2/OG/339</t>
  </si>
  <si>
    <t>SS2/OG/340</t>
  </si>
  <si>
    <t>SS2/OG/341</t>
  </si>
  <si>
    <t>SS2/OG/342</t>
  </si>
  <si>
    <t>SS2/OG/343</t>
  </si>
  <si>
    <t>SS2/OG/344</t>
  </si>
  <si>
    <t>SS2/OG/345</t>
  </si>
  <si>
    <t>SS2/OG/346</t>
  </si>
  <si>
    <t>SS2/OG/347</t>
  </si>
  <si>
    <t>SS2/OG/348</t>
  </si>
  <si>
    <t>SS2/OG/349</t>
  </si>
  <si>
    <t>SS2/OG/350</t>
  </si>
  <si>
    <t>SS2/OG/351</t>
  </si>
  <si>
    <t>SS2/OG/352</t>
  </si>
  <si>
    <t>SS2/OG/353</t>
  </si>
  <si>
    <t>SS2/OG/354</t>
  </si>
  <si>
    <t>SS2/OG/355</t>
  </si>
  <si>
    <t>SS2/OG/356</t>
  </si>
  <si>
    <t>SS2/OG/357</t>
  </si>
  <si>
    <t>SS2/OG/358</t>
  </si>
  <si>
    <t>SS2/OG/359</t>
  </si>
  <si>
    <t>SS2/OG/360</t>
  </si>
  <si>
    <t>SS2/OG/361</t>
  </si>
  <si>
    <t>SS2/OG/362</t>
  </si>
  <si>
    <t>SS2/OG/363</t>
  </si>
  <si>
    <t>SS2/OG/364</t>
  </si>
  <si>
    <t>SS2/OG/365</t>
  </si>
  <si>
    <t>SS2/OG/366</t>
  </si>
  <si>
    <t>SS2/OG/367</t>
  </si>
  <si>
    <t>SS2/OG/368</t>
  </si>
  <si>
    <t>SS2/OG/369</t>
  </si>
  <si>
    <t>SS2/OG/370</t>
  </si>
  <si>
    <t>SS2/OG/371</t>
  </si>
  <si>
    <t>SS2/OG/372</t>
  </si>
  <si>
    <t>SS2/OG/373</t>
  </si>
  <si>
    <t>SS2/OG/374</t>
  </si>
  <si>
    <t>SS2/OG/375</t>
  </si>
  <si>
    <t>SS2/OG/376</t>
  </si>
  <si>
    <t>SS2/OG/377</t>
  </si>
  <si>
    <t>SS2/OG/378</t>
  </si>
  <si>
    <t>SS2/OG/379</t>
  </si>
  <si>
    <t>SS2/OG/380</t>
  </si>
  <si>
    <t>SS2/OG/381</t>
  </si>
  <si>
    <t>SS2/OG/382</t>
  </si>
  <si>
    <t>SS2/OG/383</t>
  </si>
  <si>
    <t>SS2/OG/384</t>
  </si>
  <si>
    <t>SS2/OG/385</t>
  </si>
  <si>
    <t>SS2/OG/386</t>
  </si>
  <si>
    <t>SS2/OG/387</t>
  </si>
  <si>
    <t>SS2/OG/388</t>
  </si>
  <si>
    <t>SS2/OG/389</t>
  </si>
  <si>
    <t>SS2/OG/390</t>
  </si>
  <si>
    <t>SS2/OG/391</t>
  </si>
  <si>
    <t>SS2/OG/392</t>
  </si>
  <si>
    <t>SS2/OG/393</t>
  </si>
  <si>
    <t>SS2/OG/394</t>
  </si>
  <si>
    <t>SS2/OG/395</t>
  </si>
  <si>
    <t>SS2/OG/396</t>
  </si>
  <si>
    <t>SS2/OG/397</t>
  </si>
  <si>
    <t>SS2/OG/398</t>
  </si>
  <si>
    <t>SS2/OG/399</t>
  </si>
  <si>
    <t>SS2/OG/400</t>
  </si>
  <si>
    <t>SS2/OG/401</t>
  </si>
  <si>
    <t>SS2/OG/402</t>
  </si>
  <si>
    <t>SS2/OG/403</t>
  </si>
  <si>
    <t>SS2/OG/404</t>
  </si>
  <si>
    <t>SS2/OG/405</t>
  </si>
  <si>
    <t>SS2/OG/406</t>
  </si>
  <si>
    <t>SS2/OG/407</t>
  </si>
  <si>
    <t>SS2/OG/408</t>
  </si>
  <si>
    <t>SS2/OG/409</t>
  </si>
  <si>
    <t>SS2/OG/410</t>
  </si>
  <si>
    <t>SS2/OG/411</t>
  </si>
  <si>
    <t>SS2/OG/412</t>
  </si>
  <si>
    <t>SS2/OG/413</t>
  </si>
  <si>
    <t>SS2/OG/414</t>
  </si>
  <si>
    <t>SS2/OG/415</t>
  </si>
  <si>
    <t>SS2/OG/416</t>
  </si>
  <si>
    <t>SS2/OG/417</t>
  </si>
  <si>
    <t>SS2/OG/418</t>
  </si>
  <si>
    <t>SS2/OG/419</t>
  </si>
  <si>
    <t>SS2/OG/420</t>
  </si>
  <si>
    <t>SS2/OG/421</t>
  </si>
  <si>
    <t>SS2/OG/422</t>
  </si>
  <si>
    <t>SS2/OG/423</t>
  </si>
  <si>
    <t>SS2/OG/424</t>
  </si>
  <si>
    <t>SS2/OG/425</t>
  </si>
  <si>
    <t>SS2/OG/426</t>
  </si>
  <si>
    <t>SS2/OG/427</t>
  </si>
  <si>
    <t>SS2/OG/428</t>
  </si>
  <si>
    <t>SS2/OG/429</t>
  </si>
  <si>
    <t>SS2/OG/430</t>
  </si>
  <si>
    <t>SS2/OG/431</t>
  </si>
  <si>
    <t>SS2/OG/432</t>
  </si>
  <si>
    <t>SS2/OG/433</t>
  </si>
  <si>
    <t>SS2/OG/434</t>
  </si>
  <si>
    <t>SS2/OG/435</t>
  </si>
  <si>
    <t>SS2/OG/436</t>
  </si>
  <si>
    <t>SS2/OG/437</t>
  </si>
  <si>
    <t>SS2/OG/438</t>
  </si>
  <si>
    <t>SS2/OG/439</t>
  </si>
  <si>
    <t>SS2/OG/440</t>
  </si>
  <si>
    <t>SS2/OG/441</t>
  </si>
  <si>
    <t>SS2/OG/442</t>
  </si>
  <si>
    <t>SS2/OG/443</t>
  </si>
  <si>
    <t>SS2/OG/444</t>
  </si>
  <si>
    <t>SS2/OG/445</t>
  </si>
  <si>
    <t>SS2/OG/446</t>
  </si>
  <si>
    <t>SS2/OG/447</t>
  </si>
  <si>
    <t>SS2/OG/448</t>
  </si>
  <si>
    <t>SS2/OG/449</t>
  </si>
  <si>
    <t>SS2/OG/450</t>
  </si>
  <si>
    <t>SS2/OG/451</t>
  </si>
  <si>
    <t>SS2/OG/452</t>
  </si>
  <si>
    <t>SS2/OG/453</t>
  </si>
  <si>
    <t>SS2/OG/454</t>
  </si>
  <si>
    <t>SS2/OG/455</t>
  </si>
  <si>
    <t>SS2/OG/456</t>
  </si>
  <si>
    <t>SS2/OG/457</t>
  </si>
  <si>
    <t>SS2/OG/458</t>
  </si>
  <si>
    <t>SS2/OG/459</t>
  </si>
  <si>
    <t>SS2/OG/460</t>
  </si>
  <si>
    <t>SS2/OG/461</t>
  </si>
  <si>
    <t>SS2/OG/462</t>
  </si>
  <si>
    <t>SS2/OG/463</t>
  </si>
  <si>
    <t>SS2/OG/464</t>
  </si>
  <si>
    <t>SS2/OG/465</t>
  </si>
  <si>
    <t>SS2/OG/466</t>
  </si>
  <si>
    <t>SS2/OG/467</t>
  </si>
  <si>
    <t>SS2/OG/468</t>
  </si>
  <si>
    <t>SS2/OG/469</t>
  </si>
  <si>
    <t>SS2/OG/470</t>
  </si>
  <si>
    <t>SS2/OG/471</t>
  </si>
  <si>
    <t>SS2/OG/472</t>
  </si>
  <si>
    <t>SS2/OG/473</t>
  </si>
  <si>
    <t>SS2/OG/474</t>
  </si>
  <si>
    <t>SS2/OG/475</t>
  </si>
  <si>
    <t>SS2/OG/476</t>
  </si>
  <si>
    <t>SS2/OG/477</t>
  </si>
  <si>
    <t>SS2/OG/478</t>
  </si>
  <si>
    <t>SS2/OG/479</t>
  </si>
  <si>
    <t>SS2/OG/480</t>
  </si>
  <si>
    <t>SS2/OG/481</t>
  </si>
  <si>
    <t>SS2/OG/482</t>
  </si>
  <si>
    <t>SS2/OG/483</t>
  </si>
  <si>
    <t>SS2/OG/484</t>
  </si>
  <si>
    <t>SS2/OG/485</t>
  </si>
  <si>
    <t>SS2/OG/486</t>
  </si>
  <si>
    <t>SS2/OG/487</t>
  </si>
  <si>
    <t>SS2/OG/488</t>
  </si>
  <si>
    <t>SS2/OG/489</t>
  </si>
  <si>
    <t>SS2/OG/490</t>
  </si>
  <si>
    <t>SS2/OG/491</t>
  </si>
  <si>
    <t>SS2/OG/492</t>
  </si>
  <si>
    <t>SS2/OG/493</t>
  </si>
  <si>
    <t>SS2/OG/494</t>
  </si>
  <si>
    <t>SS2/OG/495</t>
  </si>
  <si>
    <t>SS2/OG/496</t>
  </si>
  <si>
    <t>SS2/OG/497</t>
  </si>
  <si>
    <t>SS2/OG/498</t>
  </si>
  <si>
    <t>SS2/OG/499</t>
  </si>
  <si>
    <t>SS2/OG/500</t>
  </si>
  <si>
    <t>SS2/OG/501</t>
  </si>
  <si>
    <t>SS2/OG/502</t>
  </si>
  <si>
    <t>SS2/OG/503</t>
  </si>
  <si>
    <t>SS2/OG/504</t>
  </si>
  <si>
    <t>SS2/OG/505</t>
  </si>
  <si>
    <t>SS2/OG/506</t>
  </si>
  <si>
    <t>SS2/OG/507</t>
  </si>
  <si>
    <t>SS2/OG/508</t>
  </si>
  <si>
    <t>SS2/OG/509</t>
  </si>
  <si>
    <t>SS2/OG/510</t>
  </si>
  <si>
    <t>SS2/OG/511</t>
  </si>
  <si>
    <t>SS2/OG/512</t>
  </si>
  <si>
    <t>SS2/OG/513</t>
  </si>
  <si>
    <t>SS2/OG/514</t>
  </si>
  <si>
    <t>SS2/OG/515</t>
  </si>
  <si>
    <t>SS2/OG/516</t>
  </si>
  <si>
    <t>SS2/OG/517</t>
  </si>
  <si>
    <t>SS2/OG/518</t>
  </si>
  <si>
    <t>SS2/OG/519</t>
  </si>
  <si>
    <t>SS2/OG/520</t>
  </si>
  <si>
    <t>SS2/OG/521</t>
  </si>
  <si>
    <t>SS2/OG/522</t>
  </si>
  <si>
    <t>SS2/OG/523</t>
  </si>
  <si>
    <t>SS2/OG/524</t>
  </si>
  <si>
    <t>SS2/OG/525</t>
  </si>
  <si>
    <t>SS2/OG/526</t>
  </si>
  <si>
    <t>SS2/OG/527</t>
  </si>
  <si>
    <t>SS2/OG/528</t>
  </si>
  <si>
    <t>SS2/OG/529</t>
  </si>
  <si>
    <t>SS2/OG/530</t>
  </si>
  <si>
    <t>SS2/OG/531</t>
  </si>
  <si>
    <t>SS2/OG/532</t>
  </si>
  <si>
    <t>SS2/OG/533</t>
  </si>
  <si>
    <t>SS2/OG/534</t>
  </si>
  <si>
    <t>SS2/OG/535</t>
  </si>
  <si>
    <t>SS2/OG/536</t>
  </si>
  <si>
    <t>SS2/OG/537</t>
  </si>
  <si>
    <t>SS2/OG/538</t>
  </si>
  <si>
    <t>SS2/OG/539</t>
  </si>
  <si>
    <t>SS2/OG/540</t>
  </si>
  <si>
    <t>SS2/OG/541</t>
  </si>
  <si>
    <t>SS2/OG/542</t>
  </si>
  <si>
    <t>SS2/OG/543</t>
  </si>
  <si>
    <t>SS2/OG/544</t>
  </si>
  <si>
    <t>SS2/OG/545</t>
  </si>
  <si>
    <t>SS2/OG/546</t>
  </si>
  <si>
    <t>SS2/OG/547</t>
  </si>
  <si>
    <t>SS2/OG/548</t>
  </si>
  <si>
    <t>SS2/OG/549</t>
  </si>
  <si>
    <t>SS2/OG/550</t>
  </si>
  <si>
    <t>SS2/OG/551</t>
  </si>
  <si>
    <t>SS2/OG/552</t>
  </si>
  <si>
    <t>SS2/OG/553</t>
  </si>
  <si>
    <t>SS2/OG/554</t>
  </si>
  <si>
    <t>SS2/OG/555</t>
  </si>
  <si>
    <t>SS2/OG/556</t>
  </si>
  <si>
    <t>SS2/OG/557</t>
  </si>
  <si>
    <t>SS2/OG/558</t>
  </si>
  <si>
    <t>SS2/OG/559</t>
  </si>
  <si>
    <t>SS2/OG/560</t>
  </si>
  <si>
    <t>SS2/OG/561</t>
  </si>
  <si>
    <t>SS2/OG/562</t>
  </si>
  <si>
    <t>SS2/OG/563</t>
  </si>
  <si>
    <t>SS2/OG/564</t>
  </si>
  <si>
    <t>SS2/OG/565</t>
  </si>
  <si>
    <t>SS2/OG/566</t>
  </si>
  <si>
    <t>SS2/OG/567</t>
  </si>
  <si>
    <t>SS2/OG/568</t>
  </si>
  <si>
    <t>SS2/OG/569</t>
  </si>
  <si>
    <t>SS2/OG/570</t>
  </si>
  <si>
    <t>SS2/OG/571</t>
  </si>
  <si>
    <t>SS2/OG/572</t>
  </si>
  <si>
    <t>SS2/OG/573</t>
  </si>
  <si>
    <t>SS2/OG/574</t>
  </si>
  <si>
    <t>SS2/OG/575</t>
  </si>
  <si>
    <t>SS2/OG/576</t>
  </si>
  <si>
    <t>SS2/OG/577</t>
  </si>
  <si>
    <t>SS2/OG/578</t>
  </si>
  <si>
    <t>SS2/OG/579</t>
  </si>
  <si>
    <t>SS2/OG/580</t>
  </si>
  <si>
    <t>SS2/OG/581</t>
  </si>
  <si>
    <t>SS2/OG/582</t>
  </si>
  <si>
    <t>SS2/OG/583</t>
  </si>
  <si>
    <t>SS2/OG/584</t>
  </si>
  <si>
    <t>SS2/OG/585</t>
  </si>
  <si>
    <t>SS2/OG/586</t>
  </si>
  <si>
    <t>SS2/OG/587</t>
  </si>
  <si>
    <t>SS2/OG/588</t>
  </si>
  <si>
    <t>SS2/OG/589</t>
  </si>
  <si>
    <t>SS2/OG/590</t>
  </si>
  <si>
    <t>SS2/OG/591</t>
  </si>
  <si>
    <t>SS2/OG/592</t>
  </si>
  <si>
    <t>SS2/OG/593</t>
  </si>
  <si>
    <t>SS2/OG/594</t>
  </si>
  <si>
    <t>SS2/OG/595</t>
  </si>
  <si>
    <t>SS2/OG/596</t>
  </si>
  <si>
    <t>SS2/OG/597</t>
  </si>
  <si>
    <t>SS2/OG/598</t>
  </si>
  <si>
    <t>SS2/OG/599</t>
  </si>
  <si>
    <t>SS2/OG/600</t>
  </si>
  <si>
    <t>SS2/OG/601</t>
  </si>
  <si>
    <t>SS2/OG/602</t>
  </si>
  <si>
    <t>SS2/OG/603</t>
  </si>
  <si>
    <t>SS2/OG/604</t>
  </si>
  <si>
    <t>SS2/OG/605</t>
  </si>
  <si>
    <t>SS2/OG/606</t>
  </si>
  <si>
    <t>SS2/OG/607</t>
  </si>
  <si>
    <t>SS2/OG/608</t>
  </si>
  <si>
    <t>SS2/OG/609</t>
  </si>
  <si>
    <t>SS2/OG/610</t>
  </si>
  <si>
    <t>SS2/OG/611</t>
  </si>
  <si>
    <t>SS2/OG/612</t>
  </si>
  <si>
    <t>SS2/OG/613</t>
  </si>
  <si>
    <t>SS2/OG/614</t>
  </si>
  <si>
    <t>SS2/OG/615</t>
  </si>
  <si>
    <t>SS2/OG/616</t>
  </si>
  <si>
    <t>SS2/OG/617</t>
  </si>
  <si>
    <t>SS2/OG/618</t>
  </si>
  <si>
    <t>SS2/OG/619</t>
  </si>
  <si>
    <t>SS2/OG/620</t>
  </si>
  <si>
    <t>SS2/OG/621</t>
  </si>
  <si>
    <t>SS2/OG/622</t>
  </si>
  <si>
    <t>SS2/OG/623</t>
  </si>
  <si>
    <t>SS2/OG/624</t>
  </si>
  <si>
    <t>SS2/OG/625</t>
  </si>
  <si>
    <t>SS2/OG/626</t>
  </si>
  <si>
    <t>SS2/OG/627</t>
  </si>
  <si>
    <t>SS2/OG/628</t>
  </si>
  <si>
    <t>SS2/OG/629</t>
  </si>
  <si>
    <t>SS2/OG/630</t>
  </si>
  <si>
    <t>SS2/OG/631</t>
  </si>
  <si>
    <t>SS2/OG/632</t>
  </si>
  <si>
    <t>SS2/OG/633</t>
  </si>
  <si>
    <t>SS2/OG/634</t>
  </si>
  <si>
    <t>Abdul</t>
  </si>
  <si>
    <t>Ekene</t>
  </si>
  <si>
    <t>Fashola</t>
  </si>
  <si>
    <t>Akinwale</t>
  </si>
  <si>
    <t>Lawal</t>
  </si>
  <si>
    <t>Ibrahim</t>
  </si>
  <si>
    <t>Okafor</t>
  </si>
  <si>
    <t>Ajayi</t>
  </si>
  <si>
    <t>Olatunji</t>
  </si>
  <si>
    <t>Adebayo</t>
  </si>
  <si>
    <t>Usman</t>
  </si>
  <si>
    <t>Uche</t>
  </si>
  <si>
    <t>Peters</t>
  </si>
  <si>
    <t>Nwankwo</t>
  </si>
  <si>
    <t>Soyinka</t>
  </si>
  <si>
    <t>Emeka</t>
  </si>
  <si>
    <t>Williams</t>
  </si>
  <si>
    <t>Brown</t>
  </si>
  <si>
    <t>Salami</t>
  </si>
  <si>
    <t>Thomas</t>
  </si>
  <si>
    <t>Olawale</t>
  </si>
  <si>
    <t>Owolabi</t>
  </si>
  <si>
    <t>James</t>
  </si>
  <si>
    <t>Onyekachi</t>
  </si>
  <si>
    <t>Bello</t>
  </si>
  <si>
    <t>Eze</t>
  </si>
  <si>
    <t>Sule</t>
  </si>
  <si>
    <t>Sadiq</t>
  </si>
  <si>
    <t>Okechukwu</t>
  </si>
  <si>
    <t>Ojo</t>
  </si>
  <si>
    <t>Ogunleye</t>
  </si>
  <si>
    <t>Ifeanyi</t>
  </si>
  <si>
    <t>Okoye</t>
  </si>
  <si>
    <t>Obi</t>
  </si>
  <si>
    <t>Johnson</t>
  </si>
  <si>
    <t>Yusuf</t>
  </si>
  <si>
    <t>Cole</t>
  </si>
  <si>
    <t>Clark</t>
  </si>
  <si>
    <t>Balogun</t>
  </si>
  <si>
    <t>Adeyemi</t>
  </si>
  <si>
    <t>Chukwu</t>
  </si>
  <si>
    <t>Garba</t>
  </si>
  <si>
    <t>Muhammed</t>
  </si>
  <si>
    <t>Akinsanya</t>
  </si>
  <si>
    <t>Ayomide</t>
  </si>
  <si>
    <t>Michael</t>
  </si>
  <si>
    <t>Kelvin</t>
  </si>
  <si>
    <t>Janet</t>
  </si>
  <si>
    <t>Ridwan</t>
  </si>
  <si>
    <t>Habeeb</t>
  </si>
  <si>
    <t>Hannah</t>
  </si>
  <si>
    <t>David</t>
  </si>
  <si>
    <t>Funmilayo</t>
  </si>
  <si>
    <t>Khadijah</t>
  </si>
  <si>
    <t>Samuel</t>
  </si>
  <si>
    <t>Peace</t>
  </si>
  <si>
    <t>Zainab</t>
  </si>
  <si>
    <t>Sarah</t>
  </si>
  <si>
    <t>Joshua</t>
  </si>
  <si>
    <t>Chinedu</t>
  </si>
  <si>
    <t>Daniel</t>
  </si>
  <si>
    <t>Tunde</t>
  </si>
  <si>
    <t>Damilola</t>
  </si>
  <si>
    <t>Joy</t>
  </si>
  <si>
    <t>Grace</t>
  </si>
  <si>
    <t>Deborah</t>
  </si>
  <si>
    <t>Aminat</t>
  </si>
  <si>
    <t>Paul</t>
  </si>
  <si>
    <t>Oluwafunke</t>
  </si>
  <si>
    <t>Joseph</t>
  </si>
  <si>
    <t>Patience</t>
  </si>
  <si>
    <t>Chiamaka</t>
  </si>
  <si>
    <t>Ifeoma</t>
  </si>
  <si>
    <t>Amarachi</t>
  </si>
  <si>
    <t>John</t>
  </si>
  <si>
    <t>Elizabeth</t>
  </si>
  <si>
    <t>Esther</t>
  </si>
  <si>
    <t>Ada</t>
  </si>
  <si>
    <t>Aisha</t>
  </si>
  <si>
    <t>Blessing</t>
  </si>
  <si>
    <t>Fatimah</t>
  </si>
  <si>
    <t>Faith</t>
  </si>
  <si>
    <t>Ngozi</t>
  </si>
  <si>
    <t>Ruth</t>
  </si>
  <si>
    <t>Adebimpe</t>
  </si>
  <si>
    <t>Mary</t>
  </si>
  <si>
    <t>Victor</t>
  </si>
  <si>
    <t>Sulaiman</t>
  </si>
  <si>
    <t>Abdulrahman</t>
  </si>
  <si>
    <t>Mubarak</t>
  </si>
  <si>
    <t>Oluwaseun</t>
  </si>
  <si>
    <t>Peter</t>
  </si>
  <si>
    <t>Stephen</t>
  </si>
  <si>
    <t>Halimat</t>
  </si>
  <si>
    <t>Emmanuel</t>
  </si>
  <si>
    <t>Oluwatoyin</t>
  </si>
  <si>
    <t>Mohammed</t>
  </si>
  <si>
    <t>Suleiman</t>
  </si>
  <si>
    <t>—</t>
  </si>
  <si>
    <t>Oluwasegun</t>
  </si>
  <si>
    <t>Oluwatimilehin</t>
  </si>
  <si>
    <t>Oluwatobi</t>
  </si>
  <si>
    <t>Oluwadamilare</t>
  </si>
  <si>
    <t>Chukwudi</t>
  </si>
  <si>
    <t>Oluwafemi</t>
  </si>
  <si>
    <t>Oluwaseyi</t>
  </si>
  <si>
    <t>Ikenna</t>
  </si>
  <si>
    <t>Abiola</t>
  </si>
  <si>
    <t>Babajide</t>
  </si>
  <si>
    <t>Babawale</t>
  </si>
  <si>
    <t>Oluwakemi</t>
  </si>
  <si>
    <t>Oluwatosin</t>
  </si>
  <si>
    <t>Chibuzo</t>
  </si>
  <si>
    <t>Abiodun</t>
  </si>
  <si>
    <t>Babafemi</t>
  </si>
  <si>
    <t>Nkiru</t>
  </si>
  <si>
    <t>Male</t>
  </si>
  <si>
    <t>Female</t>
  </si>
  <si>
    <t>Overall Performance</t>
  </si>
  <si>
    <t>Overall Attendance</t>
  </si>
  <si>
    <t>Family Income per Month</t>
  </si>
  <si>
    <t>Family Income per Year</t>
  </si>
  <si>
    <t>Dropout Risk Potential</t>
  </si>
  <si>
    <t>Income Class</t>
  </si>
  <si>
    <t>Age Group</t>
  </si>
  <si>
    <t>Distance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</si>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</sst>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[$₦-466]\ #,##0.00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 vertical="top"/>
    </xf>
    <xf numFmtId="0" fontId="1" fillId="0" borderId="0" xfId="0" applyFont="1"/>
    <xf numFmtId="164" fontId="1" fillId="0" borderId="0" xfId="2" applyNumberFormat="1" applyFont="1" applyBorder="1"/>
    <xf numFmtId="165" fontId="1" fillId="0" borderId="0" xfId="0" applyNumberFormat="1" applyFont="1"/>
    <xf numFmtId="9" fontId="1" fillId="0" borderId="0" xfId="0" applyNumberFormat="1" applyFont="1"/>
    <xf numFmtId="43" fontId="1" fillId="0" borderId="0" xfId="1" applyFont="1" applyBorder="1"/>
    <xf numFmtId="166" fontId="1" fillId="0" borderId="0" xfId="1" applyNumberFormat="1" applyFont="1" applyBorder="1"/>
    <xf numFmtId="43" fontId="1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[$₦-466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[$₦-466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[$₦-466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B1AD1-A987-4B2A-85FD-DB43B6335845}" name="Table1" displayName="Table1" ref="A1:P635" totalsRowShown="0" headerRowDxfId="17" dataDxfId="16">
  <autoFilter ref="A1:P635" xr:uid="{188B1AD1-A987-4B2A-85FD-DB43B6335845}">
    <filterColumn colId="5">
      <filters>
        <filter val="17-18"/>
      </filters>
    </filterColumn>
  </autoFilter>
  <tableColumns count="16">
    <tableColumn id="1" xr3:uid="{13D1470E-0E72-48F0-AD46-928D2A231210}" name="Student Number" dataDxfId="15"/>
    <tableColumn id="2" xr3:uid="{338AD022-1780-4D76-A31D-19B7EA16E9D7}" name="Last Name" dataDxfId="14"/>
    <tableColumn id="3" xr3:uid="{DDD1B1CC-78BB-4E99-876C-48A2C9CD38F3}" name="First Name" dataDxfId="13"/>
    <tableColumn id="4" xr3:uid="{171DB621-D468-426E-A971-94DA42C0B28A}" name="Middle Name" dataDxfId="12"/>
    <tableColumn id="5" xr3:uid="{DACF2015-C22E-489F-9451-8DCCA9ED4F8C}" name="Age" dataDxfId="11"/>
    <tableColumn id="14" xr3:uid="{617F9C7E-AA46-4FE0-B865-8962DD828FC6}" name="Age Group" dataDxfId="10">
      <calculatedColumnFormula array="1">_xlfn.IFS(Table1[[#This Row],[Age]]&lt;=16,"15-16",Table1[[#This Row],[Age]]&lt;19,"17-18")</calculatedColumnFormula>
    </tableColumn>
    <tableColumn id="6" xr3:uid="{2D278DB2-F850-43DC-8044-4F355838402D}" name="Gender" dataDxfId="9"/>
    <tableColumn id="7" xr3:uid="{D685DBF6-3C72-4E06-8160-ADE723569DB9}" name="Overall Performance" dataDxfId="8" dataCellStyle="Percent"/>
    <tableColumn id="8" xr3:uid="{A06DD8D5-295C-4A18-BFA8-A233E45278B3}" name="Overall Attendance" dataDxfId="7" dataCellStyle="Percent"/>
    <tableColumn id="16" xr3:uid="{6841AE2C-9126-4CEA-9A74-63096AEFE1DE}" name="Attendance" dataDxfId="6" dataCellStyle="Percent">
      <calculatedColumnFormula array="1">_xlfn.IFS(Table1[[#This Row],[Overall Attendance]]&gt;=0.6,"Good",Table1[[#This Row],[Overall Attendance]]&lt;0.6,"Bad")</calculatedColumnFormula>
    </tableColumn>
    <tableColumn id="9" xr3:uid="{9B569598-8F53-440B-888C-F061299D316A}" name="Family Income per Month" dataDxfId="5"/>
    <tableColumn id="10" xr3:uid="{7972CEB1-1DF8-45FA-88B4-F187AE1CC4A1}" name="Family Income per Year" dataDxfId="4">
      <calculatedColumnFormula>K2*12</calculatedColumnFormula>
    </tableColumn>
    <tableColumn id="13" xr3:uid="{677FAF8A-C2BD-4E5C-AD6F-3F0DFC9C9E7A}" name="Income Class" dataDxfId="3">
      <calculatedColumnFormula array="1">_xlfn.IFS(Table1[[#This Row],[Family Income per Year]]&gt;=5000000,"High Income",Table1[[#This Row],[Family Income per Year]]&gt;=1000000,"Middle Income",Table1[[#This Row],[Family Income per Year]]&lt;1000000,"Low Income")</calculatedColumnFormula>
    </tableColumn>
    <tableColumn id="11" xr3:uid="{8376F7DC-DBEF-4EFD-9DBF-74C56729CCE8}" name="Distance to School (km)" dataDxfId="2"/>
    <tableColumn id="15" xr3:uid="{5A4C777A-2CA2-4B84-A99C-7B981D6095F2}" name="Distance" dataDxfId="1">
      <calculatedColumnFormula array="1">_xlfn.IFS(Table1[[#This Row],[Distance to School (km)]]&gt;=5,"Far",Table1[[#This Row],[Distance to School (km)]]&lt;5,"Near")</calculatedColumnFormula>
    </tableColumn>
    <tableColumn id="12" xr3:uid="{AD549C57-5C97-41C5-829C-CF58523E26E4}" name="Dropout Risk Potential" dataDxfId="0">
      <calculatedColumnFormula>100%-AVERAGE(H2:I2)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5"/>
  <sheetViews>
    <sheetView tabSelected="1" topLeftCell="J4" zoomScaleNormal="100" workbookViewId="0">
      <selection activeCell="J33" sqref="J33"/>
    </sheetView>
  </sheetViews>
  <sheetFormatPr defaultColWidth="8.85546875" defaultRowHeight="14.25" x14ac:dyDescent="0.2"/>
  <cols>
    <col min="1" max="1" width="19.28515625" style="2" customWidth="1"/>
    <col min="2" max="2" width="13.42578125" style="2" customWidth="1"/>
    <col min="3" max="3" width="13.7109375" style="2" customWidth="1"/>
    <col min="4" max="4" width="15.85546875" style="2" customWidth="1"/>
    <col min="5" max="5" width="6.7109375" style="2" customWidth="1"/>
    <col min="6" max="6" width="15.85546875" style="2" bestFit="1" customWidth="1"/>
    <col min="7" max="7" width="10.42578125" style="2" customWidth="1"/>
    <col min="8" max="8" width="23.140625" style="2" customWidth="1"/>
    <col min="9" max="10" width="23.28515625" style="2" customWidth="1"/>
    <col min="11" max="11" width="27.5703125" style="2" customWidth="1"/>
    <col min="12" max="13" width="25.7109375" style="2" customWidth="1"/>
    <col min="14" max="15" width="26.140625" style="2" customWidth="1"/>
    <col min="16" max="16" width="25.28515625" style="2" customWidth="1"/>
    <col min="17" max="17" width="8.85546875" style="2"/>
    <col min="18" max="18" width="14.28515625" style="2" bestFit="1" customWidth="1"/>
    <col min="19" max="16384" width="8.85546875" style="2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765</v>
      </c>
      <c r="G1" s="1" t="s">
        <v>6</v>
      </c>
      <c r="H1" s="1" t="s">
        <v>759</v>
      </c>
      <c r="I1" s="1" t="s">
        <v>760</v>
      </c>
      <c r="J1" s="1" t="s">
        <v>767</v>
      </c>
      <c r="K1" s="1" t="s">
        <v>761</v>
      </c>
      <c r="L1" s="1" t="s">
        <v>762</v>
      </c>
      <c r="M1" s="1" t="s">
        <v>764</v>
      </c>
      <c r="N1" s="1" t="s">
        <v>4</v>
      </c>
      <c r="O1" s="1" t="s">
        <v>766</v>
      </c>
      <c r="P1" s="1" t="s">
        <v>763</v>
      </c>
    </row>
    <row r="2" spans="1:18" hidden="1" x14ac:dyDescent="0.2">
      <c r="A2" s="2" t="s">
        <v>7</v>
      </c>
      <c r="B2" s="2" t="s">
        <v>641</v>
      </c>
      <c r="C2" s="2" t="s">
        <v>685</v>
      </c>
      <c r="D2" s="2" t="s">
        <v>736</v>
      </c>
      <c r="E2" s="2">
        <v>15</v>
      </c>
      <c r="F2" s="2" t="str" cm="1">
        <f t="array" ref="F2">_xlfn.IFS(Table1[[#This Row],[Age]]&lt;=16,"15-16",Table1[[#This Row],[Age]]&lt;19,"17-18")</f>
        <v>15-16</v>
      </c>
      <c r="G2" s="2" t="s">
        <v>757</v>
      </c>
      <c r="H2" s="3">
        <v>0.65300000000000002</v>
      </c>
      <c r="I2" s="3">
        <v>0.98</v>
      </c>
      <c r="J2" s="3" t="str" cm="1">
        <f t="array" ref="J2">_xlfn.IFS(Table1[[#This Row],[Overall Attendance]]&gt;=0.6,"Good",Table1[[#This Row],[Overall Attendance]]&lt;0.6,"Bad")</f>
        <v>Good</v>
      </c>
      <c r="K2" s="4">
        <v>222791</v>
      </c>
      <c r="L2" s="4">
        <f>K2*12</f>
        <v>2673492</v>
      </c>
      <c r="M2" s="4" t="str" cm="1">
        <f t="array" ref="M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" s="2">
        <v>0.9</v>
      </c>
      <c r="O2" s="2" t="str" cm="1">
        <f t="array" ref="O2">_xlfn.IFS(Table1[[#This Row],[Distance to School (km)]]&gt;=5,"Far",Table1[[#This Row],[Distance to School (km)]]&lt;5,"Near")</f>
        <v>Near</v>
      </c>
      <c r="P2" s="5">
        <f>100%-AVERAGE(H2:I2)</f>
        <v>0.1835</v>
      </c>
    </row>
    <row r="3" spans="1:18" x14ac:dyDescent="0.2">
      <c r="A3" s="2" t="s">
        <v>8</v>
      </c>
      <c r="B3" s="2" t="s">
        <v>642</v>
      </c>
      <c r="C3" s="2" t="s">
        <v>686</v>
      </c>
      <c r="D3" s="2" t="s">
        <v>737</v>
      </c>
      <c r="E3" s="2">
        <v>17</v>
      </c>
      <c r="F3" s="2" t="str" cm="1">
        <f t="array" ref="F3">_xlfn.IFS(Table1[[#This Row],[Age]]&lt;=16,"15-16",Table1[[#This Row],[Age]]&lt;19,"17-18")</f>
        <v>17-18</v>
      </c>
      <c r="G3" s="2" t="s">
        <v>757</v>
      </c>
      <c r="H3" s="3">
        <v>0.69900000000000007</v>
      </c>
      <c r="I3" s="3">
        <v>0.83099999999999996</v>
      </c>
      <c r="J3" s="3" t="str" cm="1">
        <f t="array" ref="J3">_xlfn.IFS(Table1[[#This Row],[Overall Attendance]]&gt;=0.6,"Good",Table1[[#This Row],[Overall Attendance]]&lt;0.6,"Bad")</f>
        <v>Good</v>
      </c>
      <c r="K3" s="4">
        <v>95963</v>
      </c>
      <c r="L3" s="4">
        <f t="shared" ref="L3:L66" si="0">K3*12</f>
        <v>1151556</v>
      </c>
      <c r="M3" s="4" t="str" cm="1">
        <f t="array" ref="M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" s="2">
        <v>5.7</v>
      </c>
      <c r="O3" s="2" t="str" cm="1">
        <f t="array" ref="O3">_xlfn.IFS(Table1[[#This Row],[Distance to School (km)]]&gt;=5,"Far",Table1[[#This Row],[Distance to School (km)]]&lt;5,"Near")</f>
        <v>Far</v>
      </c>
      <c r="P3" s="5">
        <f>100%-AVERAGE(H3:I3)</f>
        <v>0.23499999999999999</v>
      </c>
      <c r="R3" s="8"/>
    </row>
    <row r="4" spans="1:18" x14ac:dyDescent="0.2">
      <c r="A4" s="2" t="s">
        <v>9</v>
      </c>
      <c r="B4" s="2" t="s">
        <v>643</v>
      </c>
      <c r="C4" s="2" t="s">
        <v>687</v>
      </c>
      <c r="D4" s="2" t="s">
        <v>646</v>
      </c>
      <c r="E4" s="2">
        <v>17</v>
      </c>
      <c r="F4" s="2" t="str" cm="1">
        <f t="array" ref="F4">_xlfn.IFS(Table1[[#This Row],[Age]]&lt;=16,"15-16",Table1[[#This Row],[Age]]&lt;19,"17-18")</f>
        <v>17-18</v>
      </c>
      <c r="G4" s="2" t="s">
        <v>757</v>
      </c>
      <c r="H4" s="3">
        <v>0.53400000000000003</v>
      </c>
      <c r="I4" s="3">
        <v>0.85799999999999998</v>
      </c>
      <c r="J4" s="3" t="str" cm="1">
        <f t="array" ref="J4">_xlfn.IFS(Table1[[#This Row],[Overall Attendance]]&gt;=0.6,"Good",Table1[[#This Row],[Overall Attendance]]&lt;0.6,"Bad")</f>
        <v>Good</v>
      </c>
      <c r="K4" s="4">
        <v>224313</v>
      </c>
      <c r="L4" s="4">
        <f t="shared" si="0"/>
        <v>2691756</v>
      </c>
      <c r="M4" s="4" t="str" cm="1">
        <f t="array" ref="M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O4" s="2" t="str" cm="1">
        <f t="array" ref="O4">_xlfn.IFS(Table1[[#This Row],[Distance to School (km)]]&gt;=5,"Far",Table1[[#This Row],[Distance to School (km)]]&lt;5,"Near")</f>
        <v>Near</v>
      </c>
      <c r="P4" s="5">
        <f t="shared" ref="P3:P66" si="1">100%-AVERAGE(H4:I4)</f>
        <v>0.30400000000000005</v>
      </c>
      <c r="R4" s="7"/>
    </row>
    <row r="5" spans="1:18" hidden="1" x14ac:dyDescent="0.2">
      <c r="A5" s="2" t="s">
        <v>10</v>
      </c>
      <c r="B5" s="2" t="s">
        <v>644</v>
      </c>
      <c r="C5" s="2" t="s">
        <v>688</v>
      </c>
      <c r="D5" s="2" t="s">
        <v>738</v>
      </c>
      <c r="E5" s="2">
        <v>15</v>
      </c>
      <c r="F5" s="2" t="str" cm="1">
        <f t="array" ref="F5">_xlfn.IFS(Table1[[#This Row],[Age]]&lt;=16,"15-16",Table1[[#This Row],[Age]]&lt;19,"17-18")</f>
        <v>15-16</v>
      </c>
      <c r="G5" s="2" t="s">
        <v>758</v>
      </c>
      <c r="H5" s="3">
        <v>0.56000000000000005</v>
      </c>
      <c r="I5" s="3">
        <v>0.83299999999999996</v>
      </c>
      <c r="J5" s="3" t="str" cm="1">
        <f t="array" ref="J5">_xlfn.IFS(Table1[[#This Row],[Overall Attendance]]&gt;=0.6,"Good",Table1[[#This Row],[Overall Attendance]]&lt;0.6,"Bad")</f>
        <v>Good</v>
      </c>
      <c r="K5" s="4">
        <v>172358</v>
      </c>
      <c r="L5" s="4">
        <f t="shared" si="0"/>
        <v>2068296</v>
      </c>
      <c r="M5" s="4" t="str" cm="1">
        <f t="array" ref="M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" s="2">
        <v>7.1</v>
      </c>
      <c r="O5" s="2" t="str" cm="1">
        <f t="array" ref="O5">_xlfn.IFS(Table1[[#This Row],[Distance to School (km)]]&gt;=5,"Far",Table1[[#This Row],[Distance to School (km)]]&lt;5,"Near")</f>
        <v>Far</v>
      </c>
      <c r="P5" s="5">
        <f t="shared" si="1"/>
        <v>0.30349999999999999</v>
      </c>
      <c r="R5" s="6"/>
    </row>
    <row r="6" spans="1:18" x14ac:dyDescent="0.2">
      <c r="A6" s="2" t="s">
        <v>11</v>
      </c>
      <c r="B6" s="2" t="s">
        <v>645</v>
      </c>
      <c r="C6" s="2" t="s">
        <v>672</v>
      </c>
      <c r="D6" s="2" t="s">
        <v>739</v>
      </c>
      <c r="E6" s="2">
        <v>17</v>
      </c>
      <c r="F6" s="2" t="str" cm="1">
        <f t="array" ref="F6">_xlfn.IFS(Table1[[#This Row],[Age]]&lt;=16,"15-16",Table1[[#This Row],[Age]]&lt;19,"17-18")</f>
        <v>17-18</v>
      </c>
      <c r="G6" s="2" t="s">
        <v>757</v>
      </c>
      <c r="H6" s="3">
        <v>0.60799999999999998</v>
      </c>
      <c r="I6" s="3">
        <v>0.86</v>
      </c>
      <c r="J6" s="3" t="str" cm="1">
        <f t="array" ref="J6">_xlfn.IFS(Table1[[#This Row],[Overall Attendance]]&gt;=0.6,"Good",Table1[[#This Row],[Overall Attendance]]&lt;0.6,"Bad")</f>
        <v>Good</v>
      </c>
      <c r="K6" s="4">
        <v>272870</v>
      </c>
      <c r="L6" s="4">
        <f t="shared" si="0"/>
        <v>3274440</v>
      </c>
      <c r="M6" s="4" t="str" cm="1">
        <f t="array" ref="M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" s="2">
        <v>7.8</v>
      </c>
      <c r="O6" s="2" t="str" cm="1">
        <f t="array" ref="O6">_xlfn.IFS(Table1[[#This Row],[Distance to School (km)]]&gt;=5,"Far",Table1[[#This Row],[Distance to School (km)]]&lt;5,"Near")</f>
        <v>Far</v>
      </c>
      <c r="P6" s="5">
        <f t="shared" si="1"/>
        <v>0.26600000000000001</v>
      </c>
    </row>
    <row r="7" spans="1:18" hidden="1" x14ac:dyDescent="0.2">
      <c r="A7" s="2" t="s">
        <v>12</v>
      </c>
      <c r="B7" s="2" t="s">
        <v>646</v>
      </c>
      <c r="C7" s="2" t="s">
        <v>689</v>
      </c>
      <c r="D7" s="2" t="s">
        <v>740</v>
      </c>
      <c r="E7" s="2">
        <v>16</v>
      </c>
      <c r="F7" s="2" t="str" cm="1">
        <f t="array" ref="F7">_xlfn.IFS(Table1[[#This Row],[Age]]&lt;=16,"15-16",Table1[[#This Row],[Age]]&lt;19,"17-18")</f>
        <v>15-16</v>
      </c>
      <c r="G7" s="2" t="s">
        <v>757</v>
      </c>
      <c r="H7" s="3">
        <v>0.53</v>
      </c>
      <c r="I7" s="3">
        <v>0.68400000000000005</v>
      </c>
      <c r="J7" s="3" t="str" cm="1">
        <f t="array" ref="J7">_xlfn.IFS(Table1[[#This Row],[Overall Attendance]]&gt;=0.6,"Good",Table1[[#This Row],[Overall Attendance]]&lt;0.6,"Bad")</f>
        <v>Good</v>
      </c>
      <c r="K7" s="4">
        <v>92470</v>
      </c>
      <c r="L7" s="4">
        <f t="shared" si="0"/>
        <v>1109640</v>
      </c>
      <c r="M7" s="4" t="str" cm="1">
        <f t="array" ref="M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7" s="2">
        <v>6.6</v>
      </c>
      <c r="O7" s="2" t="str" cm="1">
        <f t="array" ref="O7">_xlfn.IFS(Table1[[#This Row],[Distance to School (km)]]&gt;=5,"Far",Table1[[#This Row],[Distance to School (km)]]&lt;5,"Near")</f>
        <v>Far</v>
      </c>
      <c r="P7" s="5">
        <f t="shared" si="1"/>
        <v>0.39300000000000002</v>
      </c>
    </row>
    <row r="8" spans="1:18" hidden="1" x14ac:dyDescent="0.2">
      <c r="A8" s="2" t="s">
        <v>13</v>
      </c>
      <c r="B8" s="2" t="s">
        <v>647</v>
      </c>
      <c r="C8" s="2" t="s">
        <v>690</v>
      </c>
      <c r="D8" s="2" t="s">
        <v>741</v>
      </c>
      <c r="E8" s="2">
        <v>15</v>
      </c>
      <c r="F8" s="2" t="str" cm="1">
        <f t="array" ref="F8">_xlfn.IFS(Table1[[#This Row],[Age]]&lt;=16,"15-16",Table1[[#This Row],[Age]]&lt;19,"17-18")</f>
        <v>15-16</v>
      </c>
      <c r="G8" s="2" t="s">
        <v>757</v>
      </c>
      <c r="H8" s="3">
        <v>0.79099999999999993</v>
      </c>
      <c r="I8" s="3">
        <v>0.81099999999999994</v>
      </c>
      <c r="J8" s="3" t="str" cm="1">
        <f t="array" ref="J8">_xlfn.IFS(Table1[[#This Row],[Overall Attendance]]&gt;=0.6,"Good",Table1[[#This Row],[Overall Attendance]]&lt;0.6,"Bad")</f>
        <v>Good</v>
      </c>
      <c r="K8" s="4">
        <v>38250</v>
      </c>
      <c r="L8" s="4">
        <f t="shared" si="0"/>
        <v>459000</v>
      </c>
      <c r="M8" s="4" t="str" cm="1">
        <f t="array" ref="M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8" s="2">
        <v>3.1</v>
      </c>
      <c r="O8" s="2" t="str" cm="1">
        <f t="array" ref="O8">_xlfn.IFS(Table1[[#This Row],[Distance to School (km)]]&gt;=5,"Far",Table1[[#This Row],[Distance to School (km)]]&lt;5,"Near")</f>
        <v>Near</v>
      </c>
      <c r="P8" s="5">
        <f t="shared" si="1"/>
        <v>0.19900000000000007</v>
      </c>
    </row>
    <row r="9" spans="1:18" x14ac:dyDescent="0.2">
      <c r="A9" s="2" t="s">
        <v>14</v>
      </c>
      <c r="B9" s="2" t="s">
        <v>641</v>
      </c>
      <c r="C9" s="2" t="s">
        <v>691</v>
      </c>
      <c r="D9" s="2" t="s">
        <v>742</v>
      </c>
      <c r="E9" s="2">
        <v>18</v>
      </c>
      <c r="F9" s="2" t="str" cm="1">
        <f t="array" ref="F9">_xlfn.IFS(Table1[[#This Row],[Age]]&lt;=16,"15-16",Table1[[#This Row],[Age]]&lt;19,"17-18")</f>
        <v>17-18</v>
      </c>
      <c r="G9" s="2" t="s">
        <v>758</v>
      </c>
      <c r="H9" s="3">
        <v>0.69</v>
      </c>
      <c r="I9" s="3">
        <v>0.98</v>
      </c>
      <c r="J9" s="3" t="str" cm="1">
        <f t="array" ref="J9">_xlfn.IFS(Table1[[#This Row],[Overall Attendance]]&gt;=0.6,"Good",Table1[[#This Row],[Overall Attendance]]&lt;0.6,"Bad")</f>
        <v>Good</v>
      </c>
      <c r="K9" s="4">
        <v>255739</v>
      </c>
      <c r="L9" s="4">
        <f t="shared" si="0"/>
        <v>3068868</v>
      </c>
      <c r="M9" s="4" t="str" cm="1">
        <f t="array" ref="M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9" s="2">
        <v>5</v>
      </c>
      <c r="O9" s="2" t="str" cm="1">
        <f t="array" ref="O9">_xlfn.IFS(Table1[[#This Row],[Distance to School (km)]]&gt;=5,"Far",Table1[[#This Row],[Distance to School (km)]]&lt;5,"Near")</f>
        <v>Far</v>
      </c>
      <c r="P9" s="5">
        <f t="shared" si="1"/>
        <v>0.16500000000000004</v>
      </c>
    </row>
    <row r="10" spans="1:18" hidden="1" x14ac:dyDescent="0.2">
      <c r="A10" s="2" t="s">
        <v>15</v>
      </c>
      <c r="B10" s="2" t="s">
        <v>648</v>
      </c>
      <c r="C10" s="2" t="s">
        <v>692</v>
      </c>
      <c r="D10" s="2" t="s">
        <v>736</v>
      </c>
      <c r="E10" s="2">
        <v>16</v>
      </c>
      <c r="F10" s="2" t="str" cm="1">
        <f t="array" ref="F10">_xlfn.IFS(Table1[[#This Row],[Age]]&lt;=16,"15-16",Table1[[#This Row],[Age]]&lt;19,"17-18")</f>
        <v>15-16</v>
      </c>
      <c r="G10" s="2" t="s">
        <v>757</v>
      </c>
      <c r="H10" s="3">
        <v>0.61499999999999999</v>
      </c>
      <c r="I10" s="3">
        <v>0.69599999999999995</v>
      </c>
      <c r="J10" s="3" t="str" cm="1">
        <f t="array" ref="J10">_xlfn.IFS(Table1[[#This Row],[Overall Attendance]]&gt;=0.6,"Good",Table1[[#This Row],[Overall Attendance]]&lt;0.6,"Bad")</f>
        <v>Good</v>
      </c>
      <c r="K10" s="4">
        <v>352970</v>
      </c>
      <c r="L10" s="4">
        <f t="shared" si="0"/>
        <v>4235640</v>
      </c>
      <c r="M10" s="4" t="str" cm="1">
        <f t="array" ref="M1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0" s="2">
        <v>4.7</v>
      </c>
      <c r="O10" s="2" t="str" cm="1">
        <f t="array" ref="O10">_xlfn.IFS(Table1[[#This Row],[Distance to School (km)]]&gt;=5,"Far",Table1[[#This Row],[Distance to School (km)]]&lt;5,"Near")</f>
        <v>Near</v>
      </c>
      <c r="P10" s="5">
        <f t="shared" si="1"/>
        <v>0.34450000000000003</v>
      </c>
    </row>
    <row r="11" spans="1:18" x14ac:dyDescent="0.2">
      <c r="A11" s="2" t="s">
        <v>16</v>
      </c>
      <c r="B11" s="2" t="s">
        <v>649</v>
      </c>
      <c r="C11" s="2" t="s">
        <v>693</v>
      </c>
      <c r="D11" s="2" t="s">
        <v>743</v>
      </c>
      <c r="E11" s="2">
        <v>18</v>
      </c>
      <c r="F11" s="2" t="str" cm="1">
        <f t="array" ref="F11">_xlfn.IFS(Table1[[#This Row],[Age]]&lt;=16,"15-16",Table1[[#This Row],[Age]]&lt;19,"17-18")</f>
        <v>17-18</v>
      </c>
      <c r="G11" s="2" t="s">
        <v>758</v>
      </c>
      <c r="H11" s="3">
        <v>0.66099999999999992</v>
      </c>
      <c r="I11" s="3">
        <v>0.86799999999999999</v>
      </c>
      <c r="J11" s="3" t="str" cm="1">
        <f t="array" ref="J11">_xlfn.IFS(Table1[[#This Row],[Overall Attendance]]&gt;=0.6,"Good",Table1[[#This Row],[Overall Attendance]]&lt;0.6,"Bad")</f>
        <v>Good</v>
      </c>
      <c r="K11" s="4">
        <v>216654</v>
      </c>
      <c r="L11" s="4">
        <f t="shared" si="0"/>
        <v>2599848</v>
      </c>
      <c r="M11" s="4" t="str" cm="1">
        <f t="array" ref="M1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1" s="2">
        <v>4.9000000000000004</v>
      </c>
      <c r="O11" s="2" t="str" cm="1">
        <f t="array" ref="O11">_xlfn.IFS(Table1[[#This Row],[Distance to School (km)]]&gt;=5,"Far",Table1[[#This Row],[Distance to School (km)]]&lt;5,"Near")</f>
        <v>Near</v>
      </c>
      <c r="P11" s="5">
        <f t="shared" si="1"/>
        <v>0.23550000000000004</v>
      </c>
    </row>
    <row r="12" spans="1:18" x14ac:dyDescent="0.2">
      <c r="A12" s="2" t="s">
        <v>17</v>
      </c>
      <c r="B12" s="2" t="s">
        <v>650</v>
      </c>
      <c r="C12" s="2" t="s">
        <v>694</v>
      </c>
      <c r="D12" s="2" t="s">
        <v>668</v>
      </c>
      <c r="E12" s="2">
        <v>18</v>
      </c>
      <c r="F12" s="2" t="str" cm="1">
        <f t="array" ref="F12">_xlfn.IFS(Table1[[#This Row],[Age]]&lt;=16,"15-16",Table1[[#This Row],[Age]]&lt;19,"17-18")</f>
        <v>17-18</v>
      </c>
      <c r="G12" s="2" t="s">
        <v>758</v>
      </c>
      <c r="H12" s="3">
        <v>0.58700000000000008</v>
      </c>
      <c r="I12" s="3">
        <v>0.67099999999999993</v>
      </c>
      <c r="J12" s="3" t="str" cm="1">
        <f t="array" ref="J12">_xlfn.IFS(Table1[[#This Row],[Overall Attendance]]&gt;=0.6,"Good",Table1[[#This Row],[Overall Attendance]]&lt;0.6,"Bad")</f>
        <v>Good</v>
      </c>
      <c r="K12" s="4">
        <v>134974</v>
      </c>
      <c r="L12" s="4">
        <f t="shared" si="0"/>
        <v>1619688</v>
      </c>
      <c r="M12" s="4" t="str" cm="1">
        <f t="array" ref="M1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2" s="2">
        <v>1.8</v>
      </c>
      <c r="O12" s="2" t="str" cm="1">
        <f t="array" ref="O12">_xlfn.IFS(Table1[[#This Row],[Distance to School (km)]]&gt;=5,"Far",Table1[[#This Row],[Distance to School (km)]]&lt;5,"Near")</f>
        <v>Near</v>
      </c>
      <c r="P12" s="5">
        <f t="shared" si="1"/>
        <v>0.371</v>
      </c>
    </row>
    <row r="13" spans="1:18" x14ac:dyDescent="0.2">
      <c r="A13" s="2" t="s">
        <v>18</v>
      </c>
      <c r="B13" s="2" t="s">
        <v>650</v>
      </c>
      <c r="C13" s="2" t="s">
        <v>690</v>
      </c>
      <c r="D13" s="2" t="s">
        <v>738</v>
      </c>
      <c r="E13" s="2">
        <v>17</v>
      </c>
      <c r="F13" s="2" t="str" cm="1">
        <f t="array" ref="F13">_xlfn.IFS(Table1[[#This Row],[Age]]&lt;=16,"15-16",Table1[[#This Row],[Age]]&lt;19,"17-18")</f>
        <v>17-18</v>
      </c>
      <c r="G13" s="2" t="s">
        <v>757</v>
      </c>
      <c r="H13" s="3">
        <v>0.68700000000000006</v>
      </c>
      <c r="I13" s="3">
        <v>0.76500000000000001</v>
      </c>
      <c r="J13" s="3" t="str" cm="1">
        <f t="array" ref="J13">_xlfn.IFS(Table1[[#This Row],[Overall Attendance]]&gt;=0.6,"Good",Table1[[#This Row],[Overall Attendance]]&lt;0.6,"Bad")</f>
        <v>Good</v>
      </c>
      <c r="K13" s="4">
        <v>36403</v>
      </c>
      <c r="L13" s="4">
        <f t="shared" si="0"/>
        <v>436836</v>
      </c>
      <c r="M13" s="4" t="str" cm="1">
        <f t="array" ref="M1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3" s="2">
        <v>10.5</v>
      </c>
      <c r="O13" s="2" t="str" cm="1">
        <f t="array" ref="O13">_xlfn.IFS(Table1[[#This Row],[Distance to School (km)]]&gt;=5,"Far",Table1[[#This Row],[Distance to School (km)]]&lt;5,"Near")</f>
        <v>Far</v>
      </c>
      <c r="P13" s="5">
        <f t="shared" si="1"/>
        <v>0.27400000000000002</v>
      </c>
    </row>
    <row r="14" spans="1:18" x14ac:dyDescent="0.2">
      <c r="A14" s="2" t="s">
        <v>19</v>
      </c>
      <c r="B14" s="2" t="s">
        <v>651</v>
      </c>
      <c r="C14" s="2" t="s">
        <v>695</v>
      </c>
      <c r="D14" s="2" t="s">
        <v>739</v>
      </c>
      <c r="E14" s="2">
        <v>17</v>
      </c>
      <c r="F14" s="2" t="str" cm="1">
        <f t="array" ref="F14">_xlfn.IFS(Table1[[#This Row],[Age]]&lt;=16,"15-16",Table1[[#This Row],[Age]]&lt;19,"17-18")</f>
        <v>17-18</v>
      </c>
      <c r="G14" s="2" t="s">
        <v>757</v>
      </c>
      <c r="H14" s="3">
        <v>0.3</v>
      </c>
      <c r="I14" s="3">
        <v>0.98</v>
      </c>
      <c r="J14" s="3" t="str" cm="1">
        <f t="array" ref="J14">_xlfn.IFS(Table1[[#This Row],[Overall Attendance]]&gt;=0.6,"Good",Table1[[#This Row],[Overall Attendance]]&lt;0.6,"Bad")</f>
        <v>Good</v>
      </c>
      <c r="K14" s="4">
        <v>284976</v>
      </c>
      <c r="L14" s="4">
        <f t="shared" si="0"/>
        <v>3419712</v>
      </c>
      <c r="M14" s="4" t="str" cm="1">
        <f t="array" ref="M1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4" s="2">
        <v>0.7</v>
      </c>
      <c r="O14" s="2" t="str" cm="1">
        <f t="array" ref="O14">_xlfn.IFS(Table1[[#This Row],[Distance to School (km)]]&gt;=5,"Far",Table1[[#This Row],[Distance to School (km)]]&lt;5,"Near")</f>
        <v>Near</v>
      </c>
      <c r="P14" s="5">
        <f t="shared" si="1"/>
        <v>0.36</v>
      </c>
    </row>
    <row r="15" spans="1:18" x14ac:dyDescent="0.2">
      <c r="A15" s="2" t="s">
        <v>20</v>
      </c>
      <c r="B15" s="2" t="s">
        <v>649</v>
      </c>
      <c r="C15" s="2" t="s">
        <v>696</v>
      </c>
      <c r="D15" s="2" t="s">
        <v>736</v>
      </c>
      <c r="E15" s="2">
        <v>18</v>
      </c>
      <c r="F15" s="2" t="str" cm="1">
        <f t="array" ref="F15">_xlfn.IFS(Table1[[#This Row],[Age]]&lt;=16,"15-16",Table1[[#This Row],[Age]]&lt;19,"17-18")</f>
        <v>17-18</v>
      </c>
      <c r="G15" s="2" t="s">
        <v>758</v>
      </c>
      <c r="H15" s="3">
        <v>0.82900000000000007</v>
      </c>
      <c r="I15" s="3">
        <v>0.65200000000000002</v>
      </c>
      <c r="J15" s="3" t="str" cm="1">
        <f t="array" ref="J15">_xlfn.IFS(Table1[[#This Row],[Overall Attendance]]&gt;=0.6,"Good",Table1[[#This Row],[Overall Attendance]]&lt;0.6,"Bad")</f>
        <v>Good</v>
      </c>
      <c r="K15" s="4">
        <v>97967</v>
      </c>
      <c r="L15" s="4">
        <f t="shared" si="0"/>
        <v>1175604</v>
      </c>
      <c r="M15" s="4" t="str" cm="1">
        <f t="array" ref="M1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5" s="2">
        <v>2</v>
      </c>
      <c r="O15" s="2" t="str" cm="1">
        <f t="array" ref="O15">_xlfn.IFS(Table1[[#This Row],[Distance to School (km)]]&gt;=5,"Far",Table1[[#This Row],[Distance to School (km)]]&lt;5,"Near")</f>
        <v>Near</v>
      </c>
      <c r="P15" s="5">
        <f t="shared" si="1"/>
        <v>0.25949999999999995</v>
      </c>
    </row>
    <row r="16" spans="1:18" x14ac:dyDescent="0.2">
      <c r="A16" s="2" t="s">
        <v>21</v>
      </c>
      <c r="B16" s="2" t="s">
        <v>652</v>
      </c>
      <c r="C16" s="2" t="s">
        <v>692</v>
      </c>
      <c r="D16" s="2" t="s">
        <v>737</v>
      </c>
      <c r="E16" s="2">
        <v>18</v>
      </c>
      <c r="F16" s="2" t="str" cm="1">
        <f t="array" ref="F16">_xlfn.IFS(Table1[[#This Row],[Age]]&lt;=16,"15-16",Table1[[#This Row],[Age]]&lt;19,"17-18")</f>
        <v>17-18</v>
      </c>
      <c r="G16" s="2" t="s">
        <v>757</v>
      </c>
      <c r="H16" s="3">
        <v>0.54700000000000004</v>
      </c>
      <c r="I16" s="3">
        <v>0.85199999999999998</v>
      </c>
      <c r="J16" s="3" t="str" cm="1">
        <f t="array" ref="J16">_xlfn.IFS(Table1[[#This Row],[Overall Attendance]]&gt;=0.6,"Good",Table1[[#This Row],[Overall Attendance]]&lt;0.6,"Bad")</f>
        <v>Good</v>
      </c>
      <c r="K16" s="4">
        <v>99498</v>
      </c>
      <c r="L16" s="4">
        <f t="shared" si="0"/>
        <v>1193976</v>
      </c>
      <c r="M16" s="4" t="str" cm="1">
        <f t="array" ref="M1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6" s="2">
        <v>8.6999999999999993</v>
      </c>
      <c r="O16" s="2" t="str" cm="1">
        <f t="array" ref="O16">_xlfn.IFS(Table1[[#This Row],[Distance to School (km)]]&gt;=5,"Far",Table1[[#This Row],[Distance to School (km)]]&lt;5,"Near")</f>
        <v>Far</v>
      </c>
      <c r="P16" s="5">
        <f t="shared" si="1"/>
        <v>0.30049999999999999</v>
      </c>
    </row>
    <row r="17" spans="1:16" hidden="1" x14ac:dyDescent="0.2">
      <c r="A17" s="2" t="s">
        <v>22</v>
      </c>
      <c r="B17" s="2" t="s">
        <v>652</v>
      </c>
      <c r="C17" s="2" t="s">
        <v>697</v>
      </c>
      <c r="D17" s="2" t="s">
        <v>744</v>
      </c>
      <c r="E17" s="2">
        <v>15</v>
      </c>
      <c r="F17" s="2" t="str" cm="1">
        <f t="array" ref="F17">_xlfn.IFS(Table1[[#This Row],[Age]]&lt;=16,"15-16",Table1[[#This Row],[Age]]&lt;19,"17-18")</f>
        <v>15-16</v>
      </c>
      <c r="G17" s="2" t="s">
        <v>758</v>
      </c>
      <c r="H17" s="3">
        <v>0.68200000000000005</v>
      </c>
      <c r="I17" s="3">
        <v>0.86900000000000011</v>
      </c>
      <c r="J17" s="3" t="str" cm="1">
        <f t="array" ref="J17">_xlfn.IFS(Table1[[#This Row],[Overall Attendance]]&gt;=0.6,"Good",Table1[[#This Row],[Overall Attendance]]&lt;0.6,"Bad")</f>
        <v>Good</v>
      </c>
      <c r="K17" s="4">
        <v>51379</v>
      </c>
      <c r="L17" s="4">
        <f t="shared" si="0"/>
        <v>616548</v>
      </c>
      <c r="M17" s="4" t="str" cm="1">
        <f t="array" ref="M1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7" s="2">
        <v>7.3</v>
      </c>
      <c r="O17" s="2" t="str" cm="1">
        <f t="array" ref="O17">_xlfn.IFS(Table1[[#This Row],[Distance to School (km)]]&gt;=5,"Far",Table1[[#This Row],[Distance to School (km)]]&lt;5,"Near")</f>
        <v>Far</v>
      </c>
      <c r="P17" s="5">
        <f t="shared" si="1"/>
        <v>0.22449999999999992</v>
      </c>
    </row>
    <row r="18" spans="1:16" x14ac:dyDescent="0.2">
      <c r="A18" s="2" t="s">
        <v>23</v>
      </c>
      <c r="B18" s="2" t="s">
        <v>653</v>
      </c>
      <c r="C18" s="2" t="s">
        <v>656</v>
      </c>
      <c r="D18" s="2" t="s">
        <v>745</v>
      </c>
      <c r="E18" s="2">
        <v>18</v>
      </c>
      <c r="F18" s="2" t="str" cm="1">
        <f t="array" ref="F18">_xlfn.IFS(Table1[[#This Row],[Age]]&lt;=16,"15-16",Table1[[#This Row],[Age]]&lt;19,"17-18")</f>
        <v>17-18</v>
      </c>
      <c r="G18" s="2" t="s">
        <v>757</v>
      </c>
      <c r="H18" s="3">
        <v>0.65400000000000003</v>
      </c>
      <c r="I18" s="3">
        <v>0.98</v>
      </c>
      <c r="J18" s="3" t="str" cm="1">
        <f t="array" ref="J18">_xlfn.IFS(Table1[[#This Row],[Overall Attendance]]&gt;=0.6,"Good",Table1[[#This Row],[Overall Attendance]]&lt;0.6,"Bad")</f>
        <v>Good</v>
      </c>
      <c r="K18" s="4">
        <v>71655</v>
      </c>
      <c r="L18" s="4">
        <f t="shared" si="0"/>
        <v>859860</v>
      </c>
      <c r="M18" s="4" t="str" cm="1">
        <f t="array" ref="M1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8" s="2">
        <v>3.7</v>
      </c>
      <c r="O18" s="2" t="str" cm="1">
        <f t="array" ref="O18">_xlfn.IFS(Table1[[#This Row],[Distance to School (km)]]&gt;=5,"Far",Table1[[#This Row],[Distance to School (km)]]&lt;5,"Near")</f>
        <v>Near</v>
      </c>
      <c r="P18" s="5">
        <f t="shared" si="1"/>
        <v>0.18300000000000005</v>
      </c>
    </row>
    <row r="19" spans="1:16" x14ac:dyDescent="0.2">
      <c r="A19" s="2" t="s">
        <v>24</v>
      </c>
      <c r="B19" s="2" t="s">
        <v>648</v>
      </c>
      <c r="C19" s="2" t="s">
        <v>668</v>
      </c>
      <c r="D19" s="2" t="s">
        <v>738</v>
      </c>
      <c r="E19" s="2">
        <v>18</v>
      </c>
      <c r="F19" s="2" t="str" cm="1">
        <f t="array" ref="F19">_xlfn.IFS(Table1[[#This Row],[Age]]&lt;=16,"15-16",Table1[[#This Row],[Age]]&lt;19,"17-18")</f>
        <v>17-18</v>
      </c>
      <c r="G19" s="2" t="s">
        <v>757</v>
      </c>
      <c r="H19" s="3">
        <v>0.76300000000000001</v>
      </c>
      <c r="I19" s="3">
        <v>0.76900000000000002</v>
      </c>
      <c r="J19" s="3" t="str" cm="1">
        <f t="array" ref="J19">_xlfn.IFS(Table1[[#This Row],[Overall Attendance]]&gt;=0.6,"Good",Table1[[#This Row],[Overall Attendance]]&lt;0.6,"Bad")</f>
        <v>Good</v>
      </c>
      <c r="K19" s="4">
        <v>65926</v>
      </c>
      <c r="L19" s="4">
        <f t="shared" si="0"/>
        <v>791112</v>
      </c>
      <c r="M19" s="4" t="str" cm="1">
        <f t="array" ref="M1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9" s="2">
        <v>1.6</v>
      </c>
      <c r="O19" s="2" t="str" cm="1">
        <f t="array" ref="O19">_xlfn.IFS(Table1[[#This Row],[Distance to School (km)]]&gt;=5,"Far",Table1[[#This Row],[Distance to School (km)]]&lt;5,"Near")</f>
        <v>Near</v>
      </c>
      <c r="P19" s="5">
        <f t="shared" si="1"/>
        <v>0.23399999999999999</v>
      </c>
    </row>
    <row r="20" spans="1:16" hidden="1" x14ac:dyDescent="0.2">
      <c r="A20" s="2" t="s">
        <v>25</v>
      </c>
      <c r="B20" s="2" t="s">
        <v>654</v>
      </c>
      <c r="C20" s="2" t="s">
        <v>698</v>
      </c>
      <c r="D20" s="2" t="s">
        <v>744</v>
      </c>
      <c r="E20" s="2">
        <v>15</v>
      </c>
      <c r="F20" s="2" t="str" cm="1">
        <f t="array" ref="F20">_xlfn.IFS(Table1[[#This Row],[Age]]&lt;=16,"15-16",Table1[[#This Row],[Age]]&lt;19,"17-18")</f>
        <v>15-16</v>
      </c>
      <c r="G20" s="2" t="s">
        <v>758</v>
      </c>
      <c r="H20" s="3">
        <v>0.5</v>
      </c>
      <c r="I20" s="3">
        <v>0.2</v>
      </c>
      <c r="J20" s="3" t="str" cm="1">
        <f t="array" ref="J20">_xlfn.IFS(Table1[[#This Row],[Overall Attendance]]&gt;=0.6,"Good",Table1[[#This Row],[Overall Attendance]]&lt;0.6,"Bad")</f>
        <v>Bad</v>
      </c>
      <c r="K20" s="4">
        <v>215890</v>
      </c>
      <c r="L20" s="4">
        <f t="shared" si="0"/>
        <v>2590680</v>
      </c>
      <c r="M20" s="4" t="str" cm="1">
        <f t="array" ref="M2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0" s="2">
        <v>8.9</v>
      </c>
      <c r="O20" s="2" t="str" cm="1">
        <f t="array" ref="O20">_xlfn.IFS(Table1[[#This Row],[Distance to School (km)]]&gt;=5,"Far",Table1[[#This Row],[Distance to School (km)]]&lt;5,"Near")</f>
        <v>Far</v>
      </c>
      <c r="P20" s="5">
        <f t="shared" si="1"/>
        <v>0.65</v>
      </c>
    </row>
    <row r="21" spans="1:16" hidden="1" x14ac:dyDescent="0.2">
      <c r="A21" s="2" t="s">
        <v>26</v>
      </c>
      <c r="B21" s="2" t="s">
        <v>655</v>
      </c>
      <c r="C21" s="2" t="s">
        <v>699</v>
      </c>
      <c r="D21" s="2" t="s">
        <v>712</v>
      </c>
      <c r="E21" s="2">
        <v>15</v>
      </c>
      <c r="F21" s="2" t="str" cm="1">
        <f t="array" ref="F21">_xlfn.IFS(Table1[[#This Row],[Age]]&lt;=16,"15-16",Table1[[#This Row],[Age]]&lt;19,"17-18")</f>
        <v>15-16</v>
      </c>
      <c r="G21" s="2" t="s">
        <v>757</v>
      </c>
      <c r="H21" s="3">
        <v>0.501</v>
      </c>
      <c r="I21" s="3">
        <v>0.85299999999999998</v>
      </c>
      <c r="J21" s="3" t="str" cm="1">
        <f t="array" ref="J21">_xlfn.IFS(Table1[[#This Row],[Overall Attendance]]&gt;=0.6,"Good",Table1[[#This Row],[Overall Attendance]]&lt;0.6,"Bad")</f>
        <v>Good</v>
      </c>
      <c r="K21" s="4">
        <v>219762</v>
      </c>
      <c r="L21" s="4">
        <f t="shared" si="0"/>
        <v>2637144</v>
      </c>
      <c r="M21" s="4" t="str" cm="1">
        <f t="array" ref="M2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1" s="2">
        <v>9.8000000000000007</v>
      </c>
      <c r="O21" s="2" t="str" cm="1">
        <f t="array" ref="O21">_xlfn.IFS(Table1[[#This Row],[Distance to School (km)]]&gt;=5,"Far",Table1[[#This Row],[Distance to School (km)]]&lt;5,"Near")</f>
        <v>Far</v>
      </c>
      <c r="P21" s="5">
        <f t="shared" si="1"/>
        <v>0.32299999999999995</v>
      </c>
    </row>
    <row r="22" spans="1:16" x14ac:dyDescent="0.2">
      <c r="A22" s="2" t="s">
        <v>27</v>
      </c>
      <c r="B22" s="2" t="s">
        <v>656</v>
      </c>
      <c r="C22" s="2" t="s">
        <v>700</v>
      </c>
      <c r="D22" s="2" t="s">
        <v>746</v>
      </c>
      <c r="E22" s="2">
        <v>18</v>
      </c>
      <c r="F22" s="2" t="str" cm="1">
        <f t="array" ref="F22">_xlfn.IFS(Table1[[#This Row],[Age]]&lt;=16,"15-16",Table1[[#This Row],[Age]]&lt;19,"17-18")</f>
        <v>17-18</v>
      </c>
      <c r="G22" s="2" t="s">
        <v>757</v>
      </c>
      <c r="H22" s="3">
        <v>0.88900000000000001</v>
      </c>
      <c r="I22" s="3">
        <v>0.77599999999999991</v>
      </c>
      <c r="J22" s="3" t="str" cm="1">
        <f t="array" ref="J22">_xlfn.IFS(Table1[[#This Row],[Overall Attendance]]&gt;=0.6,"Good",Table1[[#This Row],[Overall Attendance]]&lt;0.6,"Bad")</f>
        <v>Good</v>
      </c>
      <c r="K22" s="4">
        <v>306540</v>
      </c>
      <c r="L22" s="4">
        <f t="shared" si="0"/>
        <v>3678480</v>
      </c>
      <c r="M22" s="4" t="str" cm="1">
        <f t="array" ref="M2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2" s="2">
        <v>6</v>
      </c>
      <c r="O22" s="2" t="str" cm="1">
        <f t="array" ref="O22">_xlfn.IFS(Table1[[#This Row],[Distance to School (km)]]&gt;=5,"Far",Table1[[#This Row],[Distance to School (km)]]&lt;5,"Near")</f>
        <v>Far</v>
      </c>
      <c r="P22" s="5">
        <f t="shared" si="1"/>
        <v>0.16749999999999998</v>
      </c>
    </row>
    <row r="23" spans="1:16" x14ac:dyDescent="0.2">
      <c r="A23" s="2" t="s">
        <v>28</v>
      </c>
      <c r="B23" s="2" t="s">
        <v>647</v>
      </c>
      <c r="C23" s="2" t="s">
        <v>701</v>
      </c>
      <c r="D23" s="2" t="s">
        <v>746</v>
      </c>
      <c r="E23" s="2">
        <v>17</v>
      </c>
      <c r="F23" s="2" t="str" cm="1">
        <f t="array" ref="F23">_xlfn.IFS(Table1[[#This Row],[Age]]&lt;=16,"15-16",Table1[[#This Row],[Age]]&lt;19,"17-18")</f>
        <v>17-18</v>
      </c>
      <c r="G23" s="2" t="s">
        <v>757</v>
      </c>
      <c r="H23" s="3">
        <v>0.71400000000000008</v>
      </c>
      <c r="I23" s="3">
        <v>0.81299999999999994</v>
      </c>
      <c r="J23" s="3" t="str" cm="1">
        <f t="array" ref="J23">_xlfn.IFS(Table1[[#This Row],[Overall Attendance]]&gt;=0.6,"Good",Table1[[#This Row],[Overall Attendance]]&lt;0.6,"Bad")</f>
        <v>Good</v>
      </c>
      <c r="K23" s="4">
        <v>310889</v>
      </c>
      <c r="L23" s="4">
        <f t="shared" si="0"/>
        <v>3730668</v>
      </c>
      <c r="M23" s="4" t="str" cm="1">
        <f t="array" ref="M2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3" s="2">
        <v>2.2999999999999998</v>
      </c>
      <c r="O23" s="2" t="str" cm="1">
        <f t="array" ref="O23">_xlfn.IFS(Table1[[#This Row],[Distance to School (km)]]&gt;=5,"Far",Table1[[#This Row],[Distance to School (km)]]&lt;5,"Near")</f>
        <v>Near</v>
      </c>
      <c r="P23" s="5">
        <f t="shared" si="1"/>
        <v>0.23649999999999993</v>
      </c>
    </row>
    <row r="24" spans="1:16" hidden="1" x14ac:dyDescent="0.2">
      <c r="A24" s="2" t="s">
        <v>29</v>
      </c>
      <c r="B24" s="2" t="s">
        <v>657</v>
      </c>
      <c r="C24" s="2" t="s">
        <v>702</v>
      </c>
      <c r="D24" s="2" t="s">
        <v>738</v>
      </c>
      <c r="E24" s="2">
        <v>15</v>
      </c>
      <c r="F24" s="2" t="str" cm="1">
        <f t="array" ref="F24">_xlfn.IFS(Table1[[#This Row],[Age]]&lt;=16,"15-16",Table1[[#This Row],[Age]]&lt;19,"17-18")</f>
        <v>15-16</v>
      </c>
      <c r="G24" s="2" t="s">
        <v>757</v>
      </c>
      <c r="H24" s="3">
        <v>0.42799999999999999</v>
      </c>
      <c r="I24" s="3">
        <v>0.77599999999999991</v>
      </c>
      <c r="J24" s="3" t="str" cm="1">
        <f t="array" ref="J24">_xlfn.IFS(Table1[[#This Row],[Overall Attendance]]&gt;=0.6,"Good",Table1[[#This Row],[Overall Attendance]]&lt;0.6,"Bad")</f>
        <v>Good</v>
      </c>
      <c r="K24" s="4">
        <v>53287</v>
      </c>
      <c r="L24" s="4">
        <f t="shared" si="0"/>
        <v>639444</v>
      </c>
      <c r="M24" s="4" t="str" cm="1">
        <f t="array" ref="M2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4" s="2">
        <v>1.2</v>
      </c>
      <c r="O24" s="2" t="str" cm="1">
        <f t="array" ref="O24">_xlfn.IFS(Table1[[#This Row],[Distance to School (km)]]&gt;=5,"Far",Table1[[#This Row],[Distance to School (km)]]&lt;5,"Near")</f>
        <v>Near</v>
      </c>
      <c r="P24" s="5">
        <f t="shared" si="1"/>
        <v>0.39800000000000002</v>
      </c>
    </row>
    <row r="25" spans="1:16" x14ac:dyDescent="0.2">
      <c r="A25" s="2" t="s">
        <v>30</v>
      </c>
      <c r="B25" s="2" t="s">
        <v>658</v>
      </c>
      <c r="C25" s="2" t="s">
        <v>703</v>
      </c>
      <c r="D25" s="2" t="s">
        <v>742</v>
      </c>
      <c r="E25" s="2">
        <v>18</v>
      </c>
      <c r="F25" s="2" t="str" cm="1">
        <f t="array" ref="F25">_xlfn.IFS(Table1[[#This Row],[Age]]&lt;=16,"15-16",Table1[[#This Row],[Age]]&lt;19,"17-18")</f>
        <v>17-18</v>
      </c>
      <c r="G25" s="2" t="s">
        <v>757</v>
      </c>
      <c r="H25" s="3">
        <v>0.57999999999999996</v>
      </c>
      <c r="I25" s="3">
        <v>0.755</v>
      </c>
      <c r="J25" s="3" t="str" cm="1">
        <f t="array" ref="J25">_xlfn.IFS(Table1[[#This Row],[Overall Attendance]]&gt;=0.6,"Good",Table1[[#This Row],[Overall Attendance]]&lt;0.6,"Bad")</f>
        <v>Good</v>
      </c>
      <c r="K25" s="4">
        <v>23928</v>
      </c>
      <c r="L25" s="4">
        <f t="shared" si="0"/>
        <v>287136</v>
      </c>
      <c r="M25" s="4" t="str" cm="1">
        <f t="array" ref="M2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5" s="2">
        <v>7.6</v>
      </c>
      <c r="O25" s="2" t="str" cm="1">
        <f t="array" ref="O25">_xlfn.IFS(Table1[[#This Row],[Distance to School (km)]]&gt;=5,"Far",Table1[[#This Row],[Distance to School (km)]]&lt;5,"Near")</f>
        <v>Far</v>
      </c>
      <c r="P25" s="5">
        <f t="shared" si="1"/>
        <v>0.33250000000000002</v>
      </c>
    </row>
    <row r="26" spans="1:16" hidden="1" x14ac:dyDescent="0.2">
      <c r="A26" s="2" t="s">
        <v>31</v>
      </c>
      <c r="B26" s="2" t="s">
        <v>659</v>
      </c>
      <c r="C26" s="2" t="s">
        <v>704</v>
      </c>
      <c r="D26" s="2" t="s">
        <v>668</v>
      </c>
      <c r="E26" s="2">
        <v>15</v>
      </c>
      <c r="F26" s="2" t="str" cm="1">
        <f t="array" ref="F26">_xlfn.IFS(Table1[[#This Row],[Age]]&lt;=16,"15-16",Table1[[#This Row],[Age]]&lt;19,"17-18")</f>
        <v>15-16</v>
      </c>
      <c r="G26" s="2" t="s">
        <v>758</v>
      </c>
      <c r="H26" s="3">
        <v>0.60099999999999998</v>
      </c>
      <c r="I26" s="3">
        <v>0.748</v>
      </c>
      <c r="J26" s="3" t="str" cm="1">
        <f t="array" ref="J26">_xlfn.IFS(Table1[[#This Row],[Overall Attendance]]&gt;=0.6,"Good",Table1[[#This Row],[Overall Attendance]]&lt;0.6,"Bad")</f>
        <v>Good</v>
      </c>
      <c r="K26" s="4">
        <v>188040</v>
      </c>
      <c r="L26" s="4">
        <f t="shared" si="0"/>
        <v>2256480</v>
      </c>
      <c r="M26" s="4" t="str" cm="1">
        <f t="array" ref="M2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6" s="2">
        <v>5.8</v>
      </c>
      <c r="O26" s="2" t="str" cm="1">
        <f t="array" ref="O26">_xlfn.IFS(Table1[[#This Row],[Distance to School (km)]]&gt;=5,"Far",Table1[[#This Row],[Distance to School (km)]]&lt;5,"Near")</f>
        <v>Far</v>
      </c>
      <c r="P26" s="5">
        <f t="shared" si="1"/>
        <v>0.32550000000000001</v>
      </c>
    </row>
    <row r="27" spans="1:16" hidden="1" x14ac:dyDescent="0.2">
      <c r="A27" s="2" t="s">
        <v>32</v>
      </c>
      <c r="B27" s="2" t="s">
        <v>660</v>
      </c>
      <c r="C27" s="2" t="s">
        <v>690</v>
      </c>
      <c r="D27" s="2" t="s">
        <v>747</v>
      </c>
      <c r="E27" s="2">
        <v>16</v>
      </c>
      <c r="F27" s="2" t="str" cm="1">
        <f t="array" ref="F27">_xlfn.IFS(Table1[[#This Row],[Age]]&lt;=16,"15-16",Table1[[#This Row],[Age]]&lt;19,"17-18")</f>
        <v>15-16</v>
      </c>
      <c r="G27" s="2" t="s">
        <v>757</v>
      </c>
      <c r="H27" s="3">
        <v>0.66700000000000004</v>
      </c>
      <c r="I27" s="3">
        <v>0.81900000000000006</v>
      </c>
      <c r="J27" s="3" t="str" cm="1">
        <f t="array" ref="J27">_xlfn.IFS(Table1[[#This Row],[Overall Attendance]]&gt;=0.6,"Good",Table1[[#This Row],[Overall Attendance]]&lt;0.6,"Bad")</f>
        <v>Good</v>
      </c>
      <c r="K27" s="4">
        <v>134761</v>
      </c>
      <c r="L27" s="4">
        <f t="shared" si="0"/>
        <v>1617132</v>
      </c>
      <c r="M27" s="4" t="str" cm="1">
        <f t="array" ref="M2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7" s="2">
        <v>10.6</v>
      </c>
      <c r="O27" s="2" t="str" cm="1">
        <f t="array" ref="O27">_xlfn.IFS(Table1[[#This Row],[Distance to School (km)]]&gt;=5,"Far",Table1[[#This Row],[Distance to School (km)]]&lt;5,"Near")</f>
        <v>Far</v>
      </c>
      <c r="P27" s="5">
        <f t="shared" si="1"/>
        <v>0.2569999999999999</v>
      </c>
    </row>
    <row r="28" spans="1:16" hidden="1" x14ac:dyDescent="0.2">
      <c r="A28" s="2" t="s">
        <v>33</v>
      </c>
      <c r="B28" s="2" t="s">
        <v>643</v>
      </c>
      <c r="C28" s="2" t="s">
        <v>705</v>
      </c>
      <c r="D28" s="2" t="s">
        <v>744</v>
      </c>
      <c r="E28" s="2">
        <v>15</v>
      </c>
      <c r="F28" s="2" t="str" cm="1">
        <f t="array" ref="F28">_xlfn.IFS(Table1[[#This Row],[Age]]&lt;=16,"15-16",Table1[[#This Row],[Age]]&lt;19,"17-18")</f>
        <v>15-16</v>
      </c>
      <c r="G28" s="2" t="s">
        <v>758</v>
      </c>
      <c r="H28" s="3">
        <v>0.71400000000000008</v>
      </c>
      <c r="I28" s="3">
        <v>0.68500000000000005</v>
      </c>
      <c r="J28" s="3" t="str" cm="1">
        <f t="array" ref="J28">_xlfn.IFS(Table1[[#This Row],[Overall Attendance]]&gt;=0.6,"Good",Table1[[#This Row],[Overall Attendance]]&lt;0.6,"Bad")</f>
        <v>Good</v>
      </c>
      <c r="K28" s="4">
        <v>169330</v>
      </c>
      <c r="L28" s="4">
        <f t="shared" si="0"/>
        <v>2031960</v>
      </c>
      <c r="M28" s="4" t="str" cm="1">
        <f t="array" ref="M2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8" s="2">
        <v>11.2</v>
      </c>
      <c r="O28" s="2" t="str" cm="1">
        <f t="array" ref="O28">_xlfn.IFS(Table1[[#This Row],[Distance to School (km)]]&gt;=5,"Far",Table1[[#This Row],[Distance to School (km)]]&lt;5,"Near")</f>
        <v>Far</v>
      </c>
      <c r="P28" s="5">
        <f t="shared" si="1"/>
        <v>0.30049999999999999</v>
      </c>
    </row>
    <row r="29" spans="1:16" x14ac:dyDescent="0.2">
      <c r="A29" s="2" t="s">
        <v>34</v>
      </c>
      <c r="B29" s="2" t="s">
        <v>661</v>
      </c>
      <c r="C29" s="2" t="s">
        <v>692</v>
      </c>
      <c r="D29" s="2" t="s">
        <v>743</v>
      </c>
      <c r="E29" s="2">
        <v>17</v>
      </c>
      <c r="F29" s="2" t="str" cm="1">
        <f t="array" ref="F29">_xlfn.IFS(Table1[[#This Row],[Age]]&lt;=16,"15-16",Table1[[#This Row],[Age]]&lt;19,"17-18")</f>
        <v>17-18</v>
      </c>
      <c r="G29" s="2" t="s">
        <v>757</v>
      </c>
      <c r="H29" s="3">
        <v>0.61699999999999999</v>
      </c>
      <c r="I29" s="3">
        <v>0.76200000000000001</v>
      </c>
      <c r="J29" s="3" t="str" cm="1">
        <f t="array" ref="J29">_xlfn.IFS(Table1[[#This Row],[Overall Attendance]]&gt;=0.6,"Good",Table1[[#This Row],[Overall Attendance]]&lt;0.6,"Bad")</f>
        <v>Good</v>
      </c>
      <c r="K29" s="4">
        <v>127608</v>
      </c>
      <c r="L29" s="4">
        <f t="shared" si="0"/>
        <v>1531296</v>
      </c>
      <c r="M29" s="4" t="str" cm="1">
        <f t="array" ref="M2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9" s="2">
        <v>2.8</v>
      </c>
      <c r="O29" s="2" t="str" cm="1">
        <f t="array" ref="O29">_xlfn.IFS(Table1[[#This Row],[Distance to School (km)]]&gt;=5,"Far",Table1[[#This Row],[Distance to School (km)]]&lt;5,"Near")</f>
        <v>Near</v>
      </c>
      <c r="P29" s="5">
        <f t="shared" si="1"/>
        <v>0.3105</v>
      </c>
    </row>
    <row r="30" spans="1:16" x14ac:dyDescent="0.2">
      <c r="A30" s="2" t="s">
        <v>35</v>
      </c>
      <c r="B30" s="2" t="s">
        <v>649</v>
      </c>
      <c r="C30" s="2" t="s">
        <v>704</v>
      </c>
      <c r="D30" s="2" t="s">
        <v>742</v>
      </c>
      <c r="E30" s="2">
        <v>18</v>
      </c>
      <c r="F30" s="2" t="str" cm="1">
        <f t="array" ref="F30">_xlfn.IFS(Table1[[#This Row],[Age]]&lt;=16,"15-16",Table1[[#This Row],[Age]]&lt;19,"17-18")</f>
        <v>17-18</v>
      </c>
      <c r="G30" s="2" t="s">
        <v>758</v>
      </c>
      <c r="H30" s="3">
        <v>0.47</v>
      </c>
      <c r="I30" s="3">
        <v>0.68</v>
      </c>
      <c r="J30" s="3" t="str" cm="1">
        <f t="array" ref="J30">_xlfn.IFS(Table1[[#This Row],[Overall Attendance]]&gt;=0.6,"Good",Table1[[#This Row],[Overall Attendance]]&lt;0.6,"Bad")</f>
        <v>Good</v>
      </c>
      <c r="K30" s="4">
        <v>143720</v>
      </c>
      <c r="L30" s="4">
        <f t="shared" si="0"/>
        <v>1724640</v>
      </c>
      <c r="M30" s="4" t="str" cm="1">
        <f t="array" ref="M3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0" s="2">
        <v>2.4</v>
      </c>
      <c r="O30" s="2" t="str" cm="1">
        <f t="array" ref="O30">_xlfn.IFS(Table1[[#This Row],[Distance to School (km)]]&gt;=5,"Far",Table1[[#This Row],[Distance to School (km)]]&lt;5,"Near")</f>
        <v>Near</v>
      </c>
      <c r="P30" s="5">
        <f t="shared" si="1"/>
        <v>0.42500000000000004</v>
      </c>
    </row>
    <row r="31" spans="1:16" hidden="1" x14ac:dyDescent="0.2">
      <c r="A31" s="2" t="s">
        <v>36</v>
      </c>
      <c r="B31" s="2" t="s">
        <v>650</v>
      </c>
      <c r="C31" s="2" t="s">
        <v>694</v>
      </c>
      <c r="D31" s="2" t="s">
        <v>743</v>
      </c>
      <c r="E31" s="2">
        <v>16</v>
      </c>
      <c r="F31" s="2" t="str" cm="1">
        <f t="array" ref="F31">_xlfn.IFS(Table1[[#This Row],[Age]]&lt;=16,"15-16",Table1[[#This Row],[Age]]&lt;19,"17-18")</f>
        <v>15-16</v>
      </c>
      <c r="G31" s="2" t="s">
        <v>758</v>
      </c>
      <c r="H31" s="3">
        <v>0.84099999999999997</v>
      </c>
      <c r="I31" s="3">
        <v>0.91400000000000003</v>
      </c>
      <c r="J31" s="3" t="str" cm="1">
        <f t="array" ref="J31">_xlfn.IFS(Table1[[#This Row],[Overall Attendance]]&gt;=0.6,"Good",Table1[[#This Row],[Overall Attendance]]&lt;0.6,"Bad")</f>
        <v>Good</v>
      </c>
      <c r="K31" s="4">
        <v>171512</v>
      </c>
      <c r="L31" s="4">
        <f t="shared" si="0"/>
        <v>2058144</v>
      </c>
      <c r="M31" s="4" t="str" cm="1">
        <f t="array" ref="M3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1" s="2">
        <v>7.2</v>
      </c>
      <c r="O31" s="2" t="str" cm="1">
        <f t="array" ref="O31">_xlfn.IFS(Table1[[#This Row],[Distance to School (km)]]&gt;=5,"Far",Table1[[#This Row],[Distance to School (km)]]&lt;5,"Near")</f>
        <v>Far</v>
      </c>
      <c r="P31" s="5">
        <f t="shared" si="1"/>
        <v>0.12250000000000005</v>
      </c>
    </row>
    <row r="32" spans="1:16" x14ac:dyDescent="0.2">
      <c r="A32" s="2" t="s">
        <v>37</v>
      </c>
      <c r="B32" s="2" t="s">
        <v>644</v>
      </c>
      <c r="C32" s="2" t="s">
        <v>706</v>
      </c>
      <c r="D32" s="2" t="s">
        <v>748</v>
      </c>
      <c r="E32" s="2">
        <v>17</v>
      </c>
      <c r="F32" s="2" t="str" cm="1">
        <f t="array" ref="F32">_xlfn.IFS(Table1[[#This Row],[Age]]&lt;=16,"15-16",Table1[[#This Row],[Age]]&lt;19,"17-18")</f>
        <v>17-18</v>
      </c>
      <c r="G32" s="2" t="s">
        <v>758</v>
      </c>
      <c r="H32" s="3">
        <v>0.436</v>
      </c>
      <c r="I32" s="3">
        <v>0.98</v>
      </c>
      <c r="J32" s="3" t="str" cm="1">
        <f t="array" ref="J32">_xlfn.IFS(Table1[[#This Row],[Overall Attendance]]&gt;=0.6,"Good",Table1[[#This Row],[Overall Attendance]]&lt;0.6,"Bad")</f>
        <v>Good</v>
      </c>
      <c r="K32" s="4">
        <v>52615</v>
      </c>
      <c r="L32" s="4">
        <f t="shared" si="0"/>
        <v>631380</v>
      </c>
      <c r="M32" s="4" t="str" cm="1">
        <f t="array" ref="M3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2" s="2">
        <v>8.1999999999999993</v>
      </c>
      <c r="O32" s="2" t="str" cm="1">
        <f t="array" ref="O32">_xlfn.IFS(Table1[[#This Row],[Distance to School (km)]]&gt;=5,"Far",Table1[[#This Row],[Distance to School (km)]]&lt;5,"Near")</f>
        <v>Far</v>
      </c>
      <c r="P32" s="5">
        <f t="shared" si="1"/>
        <v>0.29200000000000004</v>
      </c>
    </row>
    <row r="33" spans="1:16" x14ac:dyDescent="0.2">
      <c r="A33" s="2" t="s">
        <v>38</v>
      </c>
      <c r="B33" s="2" t="s">
        <v>662</v>
      </c>
      <c r="C33" s="2" t="s">
        <v>707</v>
      </c>
      <c r="D33" s="2" t="s">
        <v>736</v>
      </c>
      <c r="E33" s="2">
        <v>17</v>
      </c>
      <c r="F33" s="2" t="str" cm="1">
        <f t="array" ref="F33">_xlfn.IFS(Table1[[#This Row],[Age]]&lt;=16,"15-16",Table1[[#This Row],[Age]]&lt;19,"17-18")</f>
        <v>17-18</v>
      </c>
      <c r="G33" s="2" t="s">
        <v>758</v>
      </c>
      <c r="H33" s="3">
        <v>0.83599999999999997</v>
      </c>
      <c r="I33" s="3">
        <v>0.61399999999999999</v>
      </c>
      <c r="J33" s="3" t="str" cm="1">
        <f t="array" ref="J33">_xlfn.IFS(Table1[[#This Row],[Overall Attendance]]&gt;=0.6,"Good",Table1[[#This Row],[Overall Attendance]]&lt;0.6,"Bad")</f>
        <v>Good</v>
      </c>
      <c r="K33" s="4">
        <v>61604</v>
      </c>
      <c r="L33" s="4">
        <f t="shared" si="0"/>
        <v>739248</v>
      </c>
      <c r="M33" s="4" t="str" cm="1">
        <f t="array" ref="M3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3" s="2">
        <v>9</v>
      </c>
      <c r="O33" s="2" t="str" cm="1">
        <f t="array" ref="O33">_xlfn.IFS(Table1[[#This Row],[Distance to School (km)]]&gt;=5,"Far",Table1[[#This Row],[Distance to School (km)]]&lt;5,"Near")</f>
        <v>Far</v>
      </c>
      <c r="P33" s="5">
        <f t="shared" si="1"/>
        <v>0.27500000000000002</v>
      </c>
    </row>
    <row r="34" spans="1:16" hidden="1" x14ac:dyDescent="0.2">
      <c r="A34" s="2" t="s">
        <v>39</v>
      </c>
      <c r="B34" s="2" t="s">
        <v>663</v>
      </c>
      <c r="C34" s="2" t="s">
        <v>688</v>
      </c>
      <c r="D34" s="2" t="s">
        <v>738</v>
      </c>
      <c r="E34" s="2">
        <v>16</v>
      </c>
      <c r="F34" s="2" t="str" cm="1">
        <f t="array" ref="F34">_xlfn.IFS(Table1[[#This Row],[Age]]&lt;=16,"15-16",Table1[[#This Row],[Age]]&lt;19,"17-18")</f>
        <v>15-16</v>
      </c>
      <c r="G34" s="2" t="s">
        <v>758</v>
      </c>
      <c r="H34" s="3">
        <v>0.65500000000000003</v>
      </c>
      <c r="I34" s="3">
        <v>0.747</v>
      </c>
      <c r="J34" s="3" t="str" cm="1">
        <f t="array" ref="J34">_xlfn.IFS(Table1[[#This Row],[Overall Attendance]]&gt;=0.6,"Good",Table1[[#This Row],[Overall Attendance]]&lt;0.6,"Bad")</f>
        <v>Good</v>
      </c>
      <c r="K34" s="4">
        <v>45800</v>
      </c>
      <c r="L34" s="4">
        <f t="shared" si="0"/>
        <v>549600</v>
      </c>
      <c r="M34" s="4" t="str" cm="1">
        <f t="array" ref="M3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4" s="2">
        <v>10.4</v>
      </c>
      <c r="O34" s="2" t="str" cm="1">
        <f t="array" ref="O34">_xlfn.IFS(Table1[[#This Row],[Distance to School (km)]]&gt;=5,"Far",Table1[[#This Row],[Distance to School (km)]]&lt;5,"Near")</f>
        <v>Far</v>
      </c>
      <c r="P34" s="5">
        <f t="shared" si="1"/>
        <v>0.29899999999999993</v>
      </c>
    </row>
    <row r="35" spans="1:16" x14ac:dyDescent="0.2">
      <c r="A35" s="2" t="s">
        <v>40</v>
      </c>
      <c r="B35" s="2" t="s">
        <v>664</v>
      </c>
      <c r="C35" s="2" t="s">
        <v>708</v>
      </c>
      <c r="D35" s="2" t="s">
        <v>749</v>
      </c>
      <c r="E35" s="2">
        <v>17</v>
      </c>
      <c r="F35" s="2" t="str" cm="1">
        <f t="array" ref="F35">_xlfn.IFS(Table1[[#This Row],[Age]]&lt;=16,"15-16",Table1[[#This Row],[Age]]&lt;19,"17-18")</f>
        <v>17-18</v>
      </c>
      <c r="G35" s="2" t="s">
        <v>757</v>
      </c>
      <c r="H35" s="3">
        <v>0.54700000000000004</v>
      </c>
      <c r="I35" s="3">
        <v>0.98</v>
      </c>
      <c r="J35" s="3" t="str" cm="1">
        <f t="array" ref="J35">_xlfn.IFS(Table1[[#This Row],[Overall Attendance]]&gt;=0.6,"Good",Table1[[#This Row],[Overall Attendance]]&lt;0.6,"Bad")</f>
        <v>Good</v>
      </c>
      <c r="K35" s="4">
        <v>64610</v>
      </c>
      <c r="L35" s="4">
        <f t="shared" si="0"/>
        <v>775320</v>
      </c>
      <c r="M35" s="4" t="str" cm="1">
        <f t="array" ref="M3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5" s="2">
        <v>5.0999999999999996</v>
      </c>
      <c r="O35" s="2" t="str" cm="1">
        <f t="array" ref="O35">_xlfn.IFS(Table1[[#This Row],[Distance to School (km)]]&gt;=5,"Far",Table1[[#This Row],[Distance to School (km)]]&lt;5,"Near")</f>
        <v>Far</v>
      </c>
      <c r="P35" s="5">
        <f t="shared" si="1"/>
        <v>0.23649999999999993</v>
      </c>
    </row>
    <row r="36" spans="1:16" x14ac:dyDescent="0.2">
      <c r="A36" s="2" t="s">
        <v>41</v>
      </c>
      <c r="B36" s="2" t="s">
        <v>641</v>
      </c>
      <c r="C36" s="2" t="s">
        <v>687</v>
      </c>
      <c r="D36" s="2" t="s">
        <v>749</v>
      </c>
      <c r="E36" s="2">
        <v>17</v>
      </c>
      <c r="F36" s="2" t="str" cm="1">
        <f t="array" ref="F36">_xlfn.IFS(Table1[[#This Row],[Age]]&lt;=16,"15-16",Table1[[#This Row],[Age]]&lt;19,"17-18")</f>
        <v>17-18</v>
      </c>
      <c r="G36" s="2" t="s">
        <v>757</v>
      </c>
      <c r="H36" s="3">
        <v>0.54400000000000004</v>
      </c>
      <c r="I36" s="3">
        <v>0.74199999999999999</v>
      </c>
      <c r="J36" s="3" t="str" cm="1">
        <f t="array" ref="J36">_xlfn.IFS(Table1[[#This Row],[Overall Attendance]]&gt;=0.6,"Good",Table1[[#This Row],[Overall Attendance]]&lt;0.6,"Bad")</f>
        <v>Good</v>
      </c>
      <c r="K36" s="4">
        <v>47645</v>
      </c>
      <c r="L36" s="4">
        <f t="shared" si="0"/>
        <v>571740</v>
      </c>
      <c r="M36" s="4" t="str" cm="1">
        <f t="array" ref="M3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6" s="2">
        <v>10.6</v>
      </c>
      <c r="O36" s="2" t="str" cm="1">
        <f t="array" ref="O36">_xlfn.IFS(Table1[[#This Row],[Distance to School (km)]]&gt;=5,"Far",Table1[[#This Row],[Distance to School (km)]]&lt;5,"Near")</f>
        <v>Far</v>
      </c>
      <c r="P36" s="5">
        <f t="shared" si="1"/>
        <v>0.35699999999999998</v>
      </c>
    </row>
    <row r="37" spans="1:16" hidden="1" x14ac:dyDescent="0.2">
      <c r="A37" s="2" t="s">
        <v>42</v>
      </c>
      <c r="B37" s="2" t="s">
        <v>665</v>
      </c>
      <c r="C37" s="2" t="s">
        <v>676</v>
      </c>
      <c r="D37" s="2" t="s">
        <v>745</v>
      </c>
      <c r="E37" s="2">
        <v>16</v>
      </c>
      <c r="F37" s="2" t="str" cm="1">
        <f t="array" ref="F37">_xlfn.IFS(Table1[[#This Row],[Age]]&lt;=16,"15-16",Table1[[#This Row],[Age]]&lt;19,"17-18")</f>
        <v>15-16</v>
      </c>
      <c r="G37" s="2" t="s">
        <v>757</v>
      </c>
      <c r="H37" s="3">
        <v>0.72</v>
      </c>
      <c r="I37" s="3">
        <v>0.88700000000000001</v>
      </c>
      <c r="J37" s="3" t="str" cm="1">
        <f t="array" ref="J37">_xlfn.IFS(Table1[[#This Row],[Overall Attendance]]&gt;=0.6,"Good",Table1[[#This Row],[Overall Attendance]]&lt;0.6,"Bad")</f>
        <v>Good</v>
      </c>
      <c r="K37" s="4">
        <v>43872</v>
      </c>
      <c r="L37" s="4">
        <f t="shared" si="0"/>
        <v>526464</v>
      </c>
      <c r="M37" s="4" t="str" cm="1">
        <f t="array" ref="M3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7" s="2">
        <v>4.9000000000000004</v>
      </c>
      <c r="O37" s="2" t="str" cm="1">
        <f t="array" ref="O37">_xlfn.IFS(Table1[[#This Row],[Distance to School (km)]]&gt;=5,"Far",Table1[[#This Row],[Distance to School (km)]]&lt;5,"Near")</f>
        <v>Near</v>
      </c>
      <c r="P37" s="5">
        <f t="shared" si="1"/>
        <v>0.19650000000000001</v>
      </c>
    </row>
    <row r="38" spans="1:16" hidden="1" x14ac:dyDescent="0.2">
      <c r="A38" s="2" t="s">
        <v>43</v>
      </c>
      <c r="B38" s="2" t="s">
        <v>666</v>
      </c>
      <c r="C38" s="2" t="s">
        <v>709</v>
      </c>
      <c r="D38" s="2" t="s">
        <v>746</v>
      </c>
      <c r="E38" s="2">
        <v>15</v>
      </c>
      <c r="F38" s="2" t="str" cm="1">
        <f t="array" ref="F38">_xlfn.IFS(Table1[[#This Row],[Age]]&lt;=16,"15-16",Table1[[#This Row],[Age]]&lt;19,"17-18")</f>
        <v>15-16</v>
      </c>
      <c r="G38" s="2" t="s">
        <v>758</v>
      </c>
      <c r="H38" s="3">
        <v>0.40399999999999997</v>
      </c>
      <c r="I38" s="3">
        <v>0.79700000000000004</v>
      </c>
      <c r="J38" s="3" t="str" cm="1">
        <f t="array" ref="J38">_xlfn.IFS(Table1[[#This Row],[Overall Attendance]]&gt;=0.6,"Good",Table1[[#This Row],[Overall Attendance]]&lt;0.6,"Bad")</f>
        <v>Good</v>
      </c>
      <c r="K38" s="4">
        <v>97149</v>
      </c>
      <c r="L38" s="4">
        <f t="shared" si="0"/>
        <v>1165788</v>
      </c>
      <c r="M38" s="4" t="str" cm="1">
        <f t="array" ref="M3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8" s="2">
        <v>4.7</v>
      </c>
      <c r="O38" s="2" t="str" cm="1">
        <f t="array" ref="O38">_xlfn.IFS(Table1[[#This Row],[Distance to School (km)]]&gt;=5,"Far",Table1[[#This Row],[Distance to School (km)]]&lt;5,"Near")</f>
        <v>Near</v>
      </c>
      <c r="P38" s="5">
        <f t="shared" si="1"/>
        <v>0.39949999999999997</v>
      </c>
    </row>
    <row r="39" spans="1:16" x14ac:dyDescent="0.2">
      <c r="A39" s="2" t="s">
        <v>44</v>
      </c>
      <c r="B39" s="2" t="s">
        <v>667</v>
      </c>
      <c r="C39" s="2" t="s">
        <v>707</v>
      </c>
      <c r="D39" s="2" t="s">
        <v>668</v>
      </c>
      <c r="E39" s="2">
        <v>17</v>
      </c>
      <c r="F39" s="2" t="str" cm="1">
        <f t="array" ref="F39">_xlfn.IFS(Table1[[#This Row],[Age]]&lt;=16,"15-16",Table1[[#This Row],[Age]]&lt;19,"17-18")</f>
        <v>17-18</v>
      </c>
      <c r="G39" s="2" t="s">
        <v>758</v>
      </c>
      <c r="H39" s="3">
        <v>0.73099999999999998</v>
      </c>
      <c r="I39" s="3">
        <v>0.69</v>
      </c>
      <c r="J39" s="3" t="str" cm="1">
        <f t="array" ref="J39">_xlfn.IFS(Table1[[#This Row],[Overall Attendance]]&gt;=0.6,"Good",Table1[[#This Row],[Overall Attendance]]&lt;0.6,"Bad")</f>
        <v>Good</v>
      </c>
      <c r="K39" s="4">
        <v>374822</v>
      </c>
      <c r="L39" s="4">
        <f t="shared" si="0"/>
        <v>4497864</v>
      </c>
      <c r="M39" s="4" t="str" cm="1">
        <f t="array" ref="M3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9" s="2">
        <v>4.3</v>
      </c>
      <c r="O39" s="2" t="str" cm="1">
        <f t="array" ref="O39">_xlfn.IFS(Table1[[#This Row],[Distance to School (km)]]&gt;=5,"Far",Table1[[#This Row],[Distance to School (km)]]&lt;5,"Near")</f>
        <v>Near</v>
      </c>
      <c r="P39" s="5">
        <f t="shared" si="1"/>
        <v>0.28950000000000009</v>
      </c>
    </row>
    <row r="40" spans="1:16" hidden="1" x14ac:dyDescent="0.2">
      <c r="A40" s="2" t="s">
        <v>45</v>
      </c>
      <c r="B40" s="2" t="s">
        <v>654</v>
      </c>
      <c r="C40" s="2" t="s">
        <v>699</v>
      </c>
      <c r="D40" s="2" t="s">
        <v>668</v>
      </c>
      <c r="E40" s="2">
        <v>15</v>
      </c>
      <c r="F40" s="2" t="str" cm="1">
        <f t="array" ref="F40">_xlfn.IFS(Table1[[#This Row],[Age]]&lt;=16,"15-16",Table1[[#This Row],[Age]]&lt;19,"17-18")</f>
        <v>15-16</v>
      </c>
      <c r="G40" s="2" t="s">
        <v>757</v>
      </c>
      <c r="H40" s="3">
        <v>0.78799999999999992</v>
      </c>
      <c r="I40" s="3">
        <v>0.76500000000000001</v>
      </c>
      <c r="J40" s="3" t="str" cm="1">
        <f t="array" ref="J40">_xlfn.IFS(Table1[[#This Row],[Overall Attendance]]&gt;=0.6,"Good",Table1[[#This Row],[Overall Attendance]]&lt;0.6,"Bad")</f>
        <v>Good</v>
      </c>
      <c r="K40" s="4">
        <v>180677</v>
      </c>
      <c r="L40" s="4">
        <f t="shared" si="0"/>
        <v>2168124</v>
      </c>
      <c r="M40" s="4" t="str" cm="1">
        <f t="array" ref="M4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0" s="2">
        <v>5.2</v>
      </c>
      <c r="O40" s="2" t="str" cm="1">
        <f t="array" ref="O40">_xlfn.IFS(Table1[[#This Row],[Distance to School (km)]]&gt;=5,"Far",Table1[[#This Row],[Distance to School (km)]]&lt;5,"Near")</f>
        <v>Far</v>
      </c>
      <c r="P40" s="5">
        <f t="shared" si="1"/>
        <v>0.22350000000000003</v>
      </c>
    </row>
    <row r="41" spans="1:16" hidden="1" x14ac:dyDescent="0.2">
      <c r="A41" s="2" t="s">
        <v>46</v>
      </c>
      <c r="B41" s="2" t="s">
        <v>659</v>
      </c>
      <c r="C41" s="2" t="s">
        <v>705</v>
      </c>
      <c r="D41" s="2" t="s">
        <v>750</v>
      </c>
      <c r="E41" s="2">
        <v>16</v>
      </c>
      <c r="F41" s="2" t="str" cm="1">
        <f t="array" ref="F41">_xlfn.IFS(Table1[[#This Row],[Age]]&lt;=16,"15-16",Table1[[#This Row],[Age]]&lt;19,"17-18")</f>
        <v>15-16</v>
      </c>
      <c r="G41" s="2" t="s">
        <v>758</v>
      </c>
      <c r="H41" s="3">
        <v>0.65700000000000003</v>
      </c>
      <c r="I41" s="3">
        <v>0.68700000000000006</v>
      </c>
      <c r="J41" s="3" t="str" cm="1">
        <f t="array" ref="J41">_xlfn.IFS(Table1[[#This Row],[Overall Attendance]]&gt;=0.6,"Good",Table1[[#This Row],[Overall Attendance]]&lt;0.6,"Bad")</f>
        <v>Good</v>
      </c>
      <c r="K41" s="4">
        <v>80474</v>
      </c>
      <c r="L41" s="4">
        <f t="shared" si="0"/>
        <v>965688</v>
      </c>
      <c r="M41" s="4" t="str" cm="1">
        <f t="array" ref="M4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1" s="2">
        <v>6.4</v>
      </c>
      <c r="O41" s="2" t="str" cm="1">
        <f t="array" ref="O41">_xlfn.IFS(Table1[[#This Row],[Distance to School (km)]]&gt;=5,"Far",Table1[[#This Row],[Distance to School (km)]]&lt;5,"Near")</f>
        <v>Far</v>
      </c>
      <c r="P41" s="5">
        <f t="shared" si="1"/>
        <v>0.32799999999999996</v>
      </c>
    </row>
    <row r="42" spans="1:16" hidden="1" x14ac:dyDescent="0.2">
      <c r="A42" s="2" t="s">
        <v>47</v>
      </c>
      <c r="B42" s="2" t="s">
        <v>642</v>
      </c>
      <c r="C42" s="2" t="s">
        <v>710</v>
      </c>
      <c r="D42" s="2" t="s">
        <v>668</v>
      </c>
      <c r="E42" s="2">
        <v>16</v>
      </c>
      <c r="F42" s="2" t="str" cm="1">
        <f t="array" ref="F42">_xlfn.IFS(Table1[[#This Row],[Age]]&lt;=16,"15-16",Table1[[#This Row],[Age]]&lt;19,"17-18")</f>
        <v>15-16</v>
      </c>
      <c r="G42" s="2" t="s">
        <v>757</v>
      </c>
      <c r="H42" s="3">
        <v>0.54700000000000004</v>
      </c>
      <c r="I42" s="3">
        <v>0.753</v>
      </c>
      <c r="J42" s="3" t="str" cm="1">
        <f t="array" ref="J42">_xlfn.IFS(Table1[[#This Row],[Overall Attendance]]&gt;=0.6,"Good",Table1[[#This Row],[Overall Attendance]]&lt;0.6,"Bad")</f>
        <v>Good</v>
      </c>
      <c r="K42" s="4">
        <v>130785</v>
      </c>
      <c r="L42" s="4">
        <f t="shared" si="0"/>
        <v>1569420</v>
      </c>
      <c r="M42" s="4" t="str" cm="1">
        <f t="array" ref="M4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2" s="2">
        <v>3.1</v>
      </c>
      <c r="O42" s="2" t="str" cm="1">
        <f t="array" ref="O42">_xlfn.IFS(Table1[[#This Row],[Distance to School (km)]]&gt;=5,"Far",Table1[[#This Row],[Distance to School (km)]]&lt;5,"Near")</f>
        <v>Near</v>
      </c>
      <c r="P42" s="5">
        <f t="shared" si="1"/>
        <v>0.35</v>
      </c>
    </row>
    <row r="43" spans="1:16" x14ac:dyDescent="0.2">
      <c r="A43" s="2" t="s">
        <v>48</v>
      </c>
      <c r="B43" s="2" t="s">
        <v>644</v>
      </c>
      <c r="C43" s="2" t="s">
        <v>685</v>
      </c>
      <c r="D43" s="2" t="s">
        <v>736</v>
      </c>
      <c r="E43" s="2">
        <v>18</v>
      </c>
      <c r="F43" s="2" t="str" cm="1">
        <f t="array" ref="F43">_xlfn.IFS(Table1[[#This Row],[Age]]&lt;=16,"15-16",Table1[[#This Row],[Age]]&lt;19,"17-18")</f>
        <v>17-18</v>
      </c>
      <c r="G43" s="2" t="s">
        <v>757</v>
      </c>
      <c r="H43" s="3">
        <v>0.78400000000000003</v>
      </c>
      <c r="I43" s="3">
        <v>0.80599999999999994</v>
      </c>
      <c r="J43" s="3" t="str" cm="1">
        <f t="array" ref="J43">_xlfn.IFS(Table1[[#This Row],[Overall Attendance]]&gt;=0.6,"Good",Table1[[#This Row],[Overall Attendance]]&lt;0.6,"Bad")</f>
        <v>Good</v>
      </c>
      <c r="K43" s="4">
        <v>54773</v>
      </c>
      <c r="L43" s="4">
        <f t="shared" si="0"/>
        <v>657276</v>
      </c>
      <c r="M43" s="4" t="str" cm="1">
        <f t="array" ref="M4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3" s="2">
        <v>8.8000000000000007</v>
      </c>
      <c r="O43" s="2" t="str" cm="1">
        <f t="array" ref="O43">_xlfn.IFS(Table1[[#This Row],[Distance to School (km)]]&gt;=5,"Far",Table1[[#This Row],[Distance to School (km)]]&lt;5,"Near")</f>
        <v>Far</v>
      </c>
      <c r="P43" s="5">
        <f t="shared" si="1"/>
        <v>0.20500000000000007</v>
      </c>
    </row>
    <row r="44" spans="1:16" x14ac:dyDescent="0.2">
      <c r="A44" s="2" t="s">
        <v>49</v>
      </c>
      <c r="B44" s="2" t="s">
        <v>668</v>
      </c>
      <c r="C44" s="2" t="s">
        <v>691</v>
      </c>
      <c r="D44" s="2" t="s">
        <v>751</v>
      </c>
      <c r="E44" s="2">
        <v>18</v>
      </c>
      <c r="F44" s="2" t="str" cm="1">
        <f t="array" ref="F44">_xlfn.IFS(Table1[[#This Row],[Age]]&lt;=16,"15-16",Table1[[#This Row],[Age]]&lt;19,"17-18")</f>
        <v>17-18</v>
      </c>
      <c r="G44" s="2" t="s">
        <v>758</v>
      </c>
      <c r="H44" s="3">
        <v>0.61299999999999999</v>
      </c>
      <c r="I44" s="3">
        <v>0.81099999999999994</v>
      </c>
      <c r="J44" s="3" t="str" cm="1">
        <f t="array" ref="J44">_xlfn.IFS(Table1[[#This Row],[Overall Attendance]]&gt;=0.6,"Good",Table1[[#This Row],[Overall Attendance]]&lt;0.6,"Bad")</f>
        <v>Good</v>
      </c>
      <c r="K44" s="4">
        <v>56986</v>
      </c>
      <c r="L44" s="4">
        <f t="shared" si="0"/>
        <v>683832</v>
      </c>
      <c r="M44" s="4" t="str" cm="1">
        <f t="array" ref="M4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4" s="2">
        <v>9.6999999999999993</v>
      </c>
      <c r="O44" s="2" t="str" cm="1">
        <f t="array" ref="O44">_xlfn.IFS(Table1[[#This Row],[Distance to School (km)]]&gt;=5,"Far",Table1[[#This Row],[Distance to School (km)]]&lt;5,"Near")</f>
        <v>Far</v>
      </c>
      <c r="P44" s="5">
        <f t="shared" si="1"/>
        <v>0.28800000000000003</v>
      </c>
    </row>
    <row r="45" spans="1:16" x14ac:dyDescent="0.2">
      <c r="A45" s="2" t="s">
        <v>50</v>
      </c>
      <c r="B45" s="2" t="s">
        <v>668</v>
      </c>
      <c r="C45" s="2" t="s">
        <v>668</v>
      </c>
      <c r="D45" s="2" t="s">
        <v>743</v>
      </c>
      <c r="E45" s="2">
        <v>18</v>
      </c>
      <c r="F45" s="2" t="str" cm="1">
        <f t="array" ref="F45">_xlfn.IFS(Table1[[#This Row],[Age]]&lt;=16,"15-16",Table1[[#This Row],[Age]]&lt;19,"17-18")</f>
        <v>17-18</v>
      </c>
      <c r="G45" s="2" t="s">
        <v>757</v>
      </c>
      <c r="H45" s="3">
        <v>0.41200000000000003</v>
      </c>
      <c r="I45" s="3">
        <v>0.86900000000000011</v>
      </c>
      <c r="J45" s="3" t="str" cm="1">
        <f t="array" ref="J45">_xlfn.IFS(Table1[[#This Row],[Overall Attendance]]&gt;=0.6,"Good",Table1[[#This Row],[Overall Attendance]]&lt;0.6,"Bad")</f>
        <v>Good</v>
      </c>
      <c r="K45" s="4">
        <v>173260</v>
      </c>
      <c r="L45" s="4">
        <f t="shared" si="0"/>
        <v>2079120</v>
      </c>
      <c r="M45" s="4" t="str" cm="1">
        <f t="array" ref="M4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5" s="2">
        <v>11.4</v>
      </c>
      <c r="O45" s="2" t="str" cm="1">
        <f t="array" ref="O45">_xlfn.IFS(Table1[[#This Row],[Distance to School (km)]]&gt;=5,"Far",Table1[[#This Row],[Distance to School (km)]]&lt;5,"Near")</f>
        <v>Far</v>
      </c>
      <c r="P45" s="5">
        <f t="shared" si="1"/>
        <v>0.35949999999999993</v>
      </c>
    </row>
    <row r="46" spans="1:16" x14ac:dyDescent="0.2">
      <c r="A46" s="2" t="s">
        <v>51</v>
      </c>
      <c r="B46" s="2" t="s">
        <v>669</v>
      </c>
      <c r="C46" s="2" t="s">
        <v>711</v>
      </c>
      <c r="D46" s="2" t="s">
        <v>744</v>
      </c>
      <c r="E46" s="2">
        <v>17</v>
      </c>
      <c r="F46" s="2" t="str" cm="1">
        <f t="array" ref="F46">_xlfn.IFS(Table1[[#This Row],[Age]]&lt;=16,"15-16",Table1[[#This Row],[Age]]&lt;19,"17-18")</f>
        <v>17-18</v>
      </c>
      <c r="G46" s="2" t="s">
        <v>758</v>
      </c>
      <c r="H46" s="3">
        <v>0.77800000000000002</v>
      </c>
      <c r="I46" s="3">
        <v>0.72099999999999997</v>
      </c>
      <c r="J46" s="3" t="str" cm="1">
        <f t="array" ref="J46">_xlfn.IFS(Table1[[#This Row],[Overall Attendance]]&gt;=0.6,"Good",Table1[[#This Row],[Overall Attendance]]&lt;0.6,"Bad")</f>
        <v>Good</v>
      </c>
      <c r="K46" s="4">
        <v>79496</v>
      </c>
      <c r="L46" s="4">
        <f t="shared" si="0"/>
        <v>953952</v>
      </c>
      <c r="M46" s="4" t="str" cm="1">
        <f t="array" ref="M4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6" s="2">
        <v>10.199999999999999</v>
      </c>
      <c r="O46" s="2" t="str" cm="1">
        <f t="array" ref="O46">_xlfn.IFS(Table1[[#This Row],[Distance to School (km)]]&gt;=5,"Far",Table1[[#This Row],[Distance to School (km)]]&lt;5,"Near")</f>
        <v>Far</v>
      </c>
      <c r="P46" s="5">
        <f t="shared" si="1"/>
        <v>0.25049999999999994</v>
      </c>
    </row>
    <row r="47" spans="1:16" hidden="1" x14ac:dyDescent="0.2">
      <c r="A47" s="2" t="s">
        <v>52</v>
      </c>
      <c r="B47" s="2" t="s">
        <v>668</v>
      </c>
      <c r="C47" s="2" t="s">
        <v>712</v>
      </c>
      <c r="D47" s="2" t="s">
        <v>741</v>
      </c>
      <c r="E47" s="2">
        <v>16</v>
      </c>
      <c r="F47" s="2" t="str" cm="1">
        <f t="array" ref="F47">_xlfn.IFS(Table1[[#This Row],[Age]]&lt;=16,"15-16",Table1[[#This Row],[Age]]&lt;19,"17-18")</f>
        <v>15-16</v>
      </c>
      <c r="G47" s="2" t="s">
        <v>758</v>
      </c>
      <c r="H47" s="3">
        <v>0.44400000000000001</v>
      </c>
      <c r="I47" s="3">
        <v>0.878</v>
      </c>
      <c r="J47" s="3" t="str" cm="1">
        <f t="array" ref="J47">_xlfn.IFS(Table1[[#This Row],[Overall Attendance]]&gt;=0.6,"Good",Table1[[#This Row],[Overall Attendance]]&lt;0.6,"Bad")</f>
        <v>Good</v>
      </c>
      <c r="K47" s="4">
        <v>27683</v>
      </c>
      <c r="L47" s="4">
        <f t="shared" si="0"/>
        <v>332196</v>
      </c>
      <c r="M47" s="4" t="str" cm="1">
        <f t="array" ref="M4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7" s="2">
        <v>2.1</v>
      </c>
      <c r="O47" s="2" t="str" cm="1">
        <f t="array" ref="O47">_xlfn.IFS(Table1[[#This Row],[Distance to School (km)]]&gt;=5,"Far",Table1[[#This Row],[Distance to School (km)]]&lt;5,"Near")</f>
        <v>Near</v>
      </c>
      <c r="P47" s="5">
        <f t="shared" si="1"/>
        <v>0.33899999999999997</v>
      </c>
    </row>
    <row r="48" spans="1:16" x14ac:dyDescent="0.2">
      <c r="A48" s="2" t="s">
        <v>53</v>
      </c>
      <c r="B48" s="2" t="s">
        <v>662</v>
      </c>
      <c r="C48" s="2" t="s">
        <v>713</v>
      </c>
      <c r="D48" s="2" t="s">
        <v>646</v>
      </c>
      <c r="E48" s="2">
        <v>18</v>
      </c>
      <c r="F48" s="2" t="str" cm="1">
        <f t="array" ref="F48">_xlfn.IFS(Table1[[#This Row],[Age]]&lt;=16,"15-16",Table1[[#This Row],[Age]]&lt;19,"17-18")</f>
        <v>17-18</v>
      </c>
      <c r="G48" s="2" t="s">
        <v>758</v>
      </c>
      <c r="H48" s="3">
        <v>0.64800000000000002</v>
      </c>
      <c r="I48" s="3">
        <v>0.92099999999999993</v>
      </c>
      <c r="J48" s="3" t="str" cm="1">
        <f t="array" ref="J48">_xlfn.IFS(Table1[[#This Row],[Overall Attendance]]&gt;=0.6,"Good",Table1[[#This Row],[Overall Attendance]]&lt;0.6,"Bad")</f>
        <v>Good</v>
      </c>
      <c r="K48" s="4">
        <v>30842</v>
      </c>
      <c r="L48" s="4">
        <f t="shared" si="0"/>
        <v>370104</v>
      </c>
      <c r="M48" s="4" t="str" cm="1">
        <f t="array" ref="M4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8" s="2">
        <v>2.9</v>
      </c>
      <c r="O48" s="2" t="str" cm="1">
        <f t="array" ref="O48">_xlfn.IFS(Table1[[#This Row],[Distance to School (km)]]&gt;=5,"Far",Table1[[#This Row],[Distance to School (km)]]&lt;5,"Near")</f>
        <v>Near</v>
      </c>
      <c r="P48" s="5">
        <f t="shared" si="1"/>
        <v>0.21550000000000002</v>
      </c>
    </row>
    <row r="49" spans="1:16" x14ac:dyDescent="0.2">
      <c r="A49" s="2" t="s">
        <v>54</v>
      </c>
      <c r="B49" s="2" t="s">
        <v>657</v>
      </c>
      <c r="C49" s="2" t="s">
        <v>714</v>
      </c>
      <c r="D49" s="2" t="s">
        <v>646</v>
      </c>
      <c r="E49" s="2">
        <v>18</v>
      </c>
      <c r="F49" s="2" t="str" cm="1">
        <f t="array" ref="F49">_xlfn.IFS(Table1[[#This Row],[Age]]&lt;=16,"15-16",Table1[[#This Row],[Age]]&lt;19,"17-18")</f>
        <v>17-18</v>
      </c>
      <c r="G49" s="2" t="s">
        <v>758</v>
      </c>
      <c r="H49" s="3">
        <v>0.86599999999999999</v>
      </c>
      <c r="I49" s="3">
        <v>0.84499999999999997</v>
      </c>
      <c r="J49" s="3" t="str" cm="1">
        <f t="array" ref="J49">_xlfn.IFS(Table1[[#This Row],[Overall Attendance]]&gt;=0.6,"Good",Table1[[#This Row],[Overall Attendance]]&lt;0.6,"Bad")</f>
        <v>Good</v>
      </c>
      <c r="K49" s="4">
        <v>162519</v>
      </c>
      <c r="L49" s="4">
        <f t="shared" si="0"/>
        <v>1950228</v>
      </c>
      <c r="M49" s="4" t="str" cm="1">
        <f t="array" ref="M4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9" s="2">
        <v>3.9</v>
      </c>
      <c r="O49" s="2" t="str" cm="1">
        <f t="array" ref="O49">_xlfn.IFS(Table1[[#This Row],[Distance to School (km)]]&gt;=5,"Far",Table1[[#This Row],[Distance to School (km)]]&lt;5,"Near")</f>
        <v>Near</v>
      </c>
      <c r="P49" s="5">
        <f t="shared" si="1"/>
        <v>0.14450000000000007</v>
      </c>
    </row>
    <row r="50" spans="1:16" x14ac:dyDescent="0.2">
      <c r="A50" s="2" t="s">
        <v>55</v>
      </c>
      <c r="B50" s="2" t="s">
        <v>656</v>
      </c>
      <c r="C50" s="2" t="s">
        <v>694</v>
      </c>
      <c r="D50" s="2" t="s">
        <v>737</v>
      </c>
      <c r="E50" s="2">
        <v>18</v>
      </c>
      <c r="F50" s="2" t="str" cm="1">
        <f t="array" ref="F50">_xlfn.IFS(Table1[[#This Row],[Age]]&lt;=16,"15-16",Table1[[#This Row],[Age]]&lt;19,"17-18")</f>
        <v>17-18</v>
      </c>
      <c r="G50" s="2" t="s">
        <v>758</v>
      </c>
      <c r="H50" s="3">
        <v>0.73099999999999998</v>
      </c>
      <c r="I50" s="3">
        <v>0.75099999999999989</v>
      </c>
      <c r="J50" s="3" t="str" cm="1">
        <f t="array" ref="J50">_xlfn.IFS(Table1[[#This Row],[Overall Attendance]]&gt;=0.6,"Good",Table1[[#This Row],[Overall Attendance]]&lt;0.6,"Bad")</f>
        <v>Good</v>
      </c>
      <c r="K50" s="4">
        <v>207609</v>
      </c>
      <c r="L50" s="4">
        <f t="shared" si="0"/>
        <v>2491308</v>
      </c>
      <c r="M50" s="4" t="str" cm="1">
        <f t="array" ref="M5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0" s="2">
        <v>4.4000000000000004</v>
      </c>
      <c r="O50" s="2" t="str" cm="1">
        <f t="array" ref="O50">_xlfn.IFS(Table1[[#This Row],[Distance to School (km)]]&gt;=5,"Far",Table1[[#This Row],[Distance to School (km)]]&lt;5,"Near")</f>
        <v>Near</v>
      </c>
      <c r="P50" s="5">
        <f t="shared" si="1"/>
        <v>0.25900000000000012</v>
      </c>
    </row>
    <row r="51" spans="1:16" x14ac:dyDescent="0.2">
      <c r="A51" s="2" t="s">
        <v>56</v>
      </c>
      <c r="B51" s="2" t="s">
        <v>664</v>
      </c>
      <c r="C51" s="2" t="s">
        <v>708</v>
      </c>
      <c r="D51" s="2" t="s">
        <v>751</v>
      </c>
      <c r="E51" s="2">
        <v>18</v>
      </c>
      <c r="F51" s="2" t="str" cm="1">
        <f t="array" ref="F51">_xlfn.IFS(Table1[[#This Row],[Age]]&lt;=16,"15-16",Table1[[#This Row],[Age]]&lt;19,"17-18")</f>
        <v>17-18</v>
      </c>
      <c r="G51" s="2" t="s">
        <v>757</v>
      </c>
      <c r="H51" s="3">
        <v>0.76700000000000002</v>
      </c>
      <c r="I51" s="3">
        <v>0.80500000000000005</v>
      </c>
      <c r="J51" s="3" t="str" cm="1">
        <f t="array" ref="J51">_xlfn.IFS(Table1[[#This Row],[Overall Attendance]]&gt;=0.6,"Good",Table1[[#This Row],[Overall Attendance]]&lt;0.6,"Bad")</f>
        <v>Good</v>
      </c>
      <c r="K51" s="4">
        <v>49718</v>
      </c>
      <c r="L51" s="4">
        <f t="shared" si="0"/>
        <v>596616</v>
      </c>
      <c r="M51" s="4" t="str" cm="1">
        <f t="array" ref="M5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1" s="2">
        <v>1.5</v>
      </c>
      <c r="O51" s="2" t="str" cm="1">
        <f t="array" ref="O51">_xlfn.IFS(Table1[[#This Row],[Distance to School (km)]]&gt;=5,"Far",Table1[[#This Row],[Distance to School (km)]]&lt;5,"Near")</f>
        <v>Near</v>
      </c>
      <c r="P51" s="5">
        <f t="shared" si="1"/>
        <v>0.21399999999999997</v>
      </c>
    </row>
    <row r="52" spans="1:16" x14ac:dyDescent="0.2">
      <c r="A52" s="2" t="s">
        <v>57</v>
      </c>
      <c r="B52" s="2" t="s">
        <v>664</v>
      </c>
      <c r="C52" s="2" t="s">
        <v>715</v>
      </c>
      <c r="D52" s="2" t="s">
        <v>752</v>
      </c>
      <c r="E52" s="2">
        <v>18</v>
      </c>
      <c r="F52" s="2" t="str" cm="1">
        <f t="array" ref="F52">_xlfn.IFS(Table1[[#This Row],[Age]]&lt;=16,"15-16",Table1[[#This Row],[Age]]&lt;19,"17-18")</f>
        <v>17-18</v>
      </c>
      <c r="G52" s="2" t="s">
        <v>757</v>
      </c>
      <c r="H52" s="3">
        <v>0.73099999999999998</v>
      </c>
      <c r="I52" s="3">
        <v>0.85</v>
      </c>
      <c r="J52" s="3" t="str" cm="1">
        <f t="array" ref="J52">_xlfn.IFS(Table1[[#This Row],[Overall Attendance]]&gt;=0.6,"Good",Table1[[#This Row],[Overall Attendance]]&lt;0.6,"Bad")</f>
        <v>Good</v>
      </c>
      <c r="K52" s="4">
        <v>288474</v>
      </c>
      <c r="L52" s="4">
        <f t="shared" si="0"/>
        <v>3461688</v>
      </c>
      <c r="M52" s="4" t="str" cm="1">
        <f t="array" ref="M5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2" s="2">
        <v>3.7</v>
      </c>
      <c r="O52" s="2" t="str" cm="1">
        <f t="array" ref="O52">_xlfn.IFS(Table1[[#This Row],[Distance to School (km)]]&gt;=5,"Far",Table1[[#This Row],[Distance to School (km)]]&lt;5,"Near")</f>
        <v>Near</v>
      </c>
      <c r="P52" s="5">
        <f t="shared" si="1"/>
        <v>0.20950000000000002</v>
      </c>
    </row>
    <row r="53" spans="1:16" hidden="1" x14ac:dyDescent="0.2">
      <c r="A53" s="2" t="s">
        <v>58</v>
      </c>
      <c r="B53" s="2" t="s">
        <v>670</v>
      </c>
      <c r="C53" s="2" t="s">
        <v>711</v>
      </c>
      <c r="D53" s="2" t="s">
        <v>753</v>
      </c>
      <c r="E53" s="2">
        <v>16</v>
      </c>
      <c r="F53" s="2" t="str" cm="1">
        <f t="array" ref="F53">_xlfn.IFS(Table1[[#This Row],[Age]]&lt;=16,"15-16",Table1[[#This Row],[Age]]&lt;19,"17-18")</f>
        <v>15-16</v>
      </c>
      <c r="G53" s="2" t="s">
        <v>758</v>
      </c>
      <c r="H53" s="3">
        <v>0.76800000000000002</v>
      </c>
      <c r="I53" s="3">
        <v>0.83499999999999996</v>
      </c>
      <c r="J53" s="3" t="str" cm="1">
        <f t="array" ref="J53">_xlfn.IFS(Table1[[#This Row],[Overall Attendance]]&gt;=0.6,"Good",Table1[[#This Row],[Overall Attendance]]&lt;0.6,"Bad")</f>
        <v>Good</v>
      </c>
      <c r="K53" s="4">
        <v>31467</v>
      </c>
      <c r="L53" s="4">
        <f t="shared" si="0"/>
        <v>377604</v>
      </c>
      <c r="M53" s="4" t="str" cm="1">
        <f t="array" ref="M5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3" s="2">
        <v>9.1999999999999993</v>
      </c>
      <c r="O53" s="2" t="str" cm="1">
        <f t="array" ref="O53">_xlfn.IFS(Table1[[#This Row],[Distance to School (km)]]&gt;=5,"Far",Table1[[#This Row],[Distance to School (km)]]&lt;5,"Near")</f>
        <v>Far</v>
      </c>
      <c r="P53" s="5">
        <f t="shared" si="1"/>
        <v>0.19850000000000001</v>
      </c>
    </row>
    <row r="54" spans="1:16" x14ac:dyDescent="0.2">
      <c r="A54" s="2" t="s">
        <v>59</v>
      </c>
      <c r="B54" s="2" t="s">
        <v>671</v>
      </c>
      <c r="C54" s="2" t="s">
        <v>708</v>
      </c>
      <c r="D54" s="2" t="s">
        <v>737</v>
      </c>
      <c r="E54" s="2">
        <v>17</v>
      </c>
      <c r="F54" s="2" t="str" cm="1">
        <f t="array" ref="F54">_xlfn.IFS(Table1[[#This Row],[Age]]&lt;=16,"15-16",Table1[[#This Row],[Age]]&lt;19,"17-18")</f>
        <v>17-18</v>
      </c>
      <c r="G54" s="2" t="s">
        <v>757</v>
      </c>
      <c r="H54" s="3">
        <v>0.65599999999999992</v>
      </c>
      <c r="I54" s="3">
        <v>0.86199999999999999</v>
      </c>
      <c r="J54" s="3" t="str" cm="1">
        <f t="array" ref="J54">_xlfn.IFS(Table1[[#This Row],[Overall Attendance]]&gt;=0.6,"Good",Table1[[#This Row],[Overall Attendance]]&lt;0.6,"Bad")</f>
        <v>Good</v>
      </c>
      <c r="K54" s="4">
        <v>257139</v>
      </c>
      <c r="L54" s="4">
        <f t="shared" si="0"/>
        <v>3085668</v>
      </c>
      <c r="M54" s="4" t="str" cm="1">
        <f t="array" ref="M5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4" s="2">
        <v>8.5</v>
      </c>
      <c r="O54" s="2" t="str" cm="1">
        <f t="array" ref="O54">_xlfn.IFS(Table1[[#This Row],[Distance to School (km)]]&gt;=5,"Far",Table1[[#This Row],[Distance to School (km)]]&lt;5,"Near")</f>
        <v>Far</v>
      </c>
      <c r="P54" s="5">
        <f t="shared" si="1"/>
        <v>0.2410000000000001</v>
      </c>
    </row>
    <row r="55" spans="1:16" x14ac:dyDescent="0.2">
      <c r="A55" s="2" t="s">
        <v>60</v>
      </c>
      <c r="B55" s="2" t="s">
        <v>658</v>
      </c>
      <c r="C55" s="2" t="s">
        <v>651</v>
      </c>
      <c r="D55" s="2" t="s">
        <v>738</v>
      </c>
      <c r="E55" s="2">
        <v>18</v>
      </c>
      <c r="F55" s="2" t="str" cm="1">
        <f t="array" ref="F55">_xlfn.IFS(Table1[[#This Row],[Age]]&lt;=16,"15-16",Table1[[#This Row],[Age]]&lt;19,"17-18")</f>
        <v>17-18</v>
      </c>
      <c r="G55" s="2" t="s">
        <v>757</v>
      </c>
      <c r="H55" s="3">
        <v>0.57899999999999996</v>
      </c>
      <c r="I55" s="3">
        <v>0.65</v>
      </c>
      <c r="J55" s="3" t="str" cm="1">
        <f t="array" ref="J55">_xlfn.IFS(Table1[[#This Row],[Overall Attendance]]&gt;=0.6,"Good",Table1[[#This Row],[Overall Attendance]]&lt;0.6,"Bad")</f>
        <v>Good</v>
      </c>
      <c r="K55" s="4">
        <v>25366</v>
      </c>
      <c r="L55" s="4">
        <f t="shared" si="0"/>
        <v>304392</v>
      </c>
      <c r="M55" s="4" t="str" cm="1">
        <f t="array" ref="M5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5" s="2">
        <v>11.2</v>
      </c>
      <c r="O55" s="2" t="str" cm="1">
        <f t="array" ref="O55">_xlfn.IFS(Table1[[#This Row],[Distance to School (km)]]&gt;=5,"Far",Table1[[#This Row],[Distance to School (km)]]&lt;5,"Near")</f>
        <v>Far</v>
      </c>
      <c r="P55" s="5">
        <f t="shared" si="1"/>
        <v>0.38549999999999995</v>
      </c>
    </row>
    <row r="56" spans="1:16" hidden="1" x14ac:dyDescent="0.2">
      <c r="A56" s="2" t="s">
        <v>61</v>
      </c>
      <c r="B56" s="2" t="s">
        <v>655</v>
      </c>
      <c r="C56" s="2" t="s">
        <v>713</v>
      </c>
      <c r="D56" s="2" t="s">
        <v>742</v>
      </c>
      <c r="E56" s="2">
        <v>15</v>
      </c>
      <c r="F56" s="2" t="str" cm="1">
        <f t="array" ref="F56">_xlfn.IFS(Table1[[#This Row],[Age]]&lt;=16,"15-16",Table1[[#This Row],[Age]]&lt;19,"17-18")</f>
        <v>15-16</v>
      </c>
      <c r="G56" s="2" t="s">
        <v>758</v>
      </c>
      <c r="H56" s="3">
        <v>0.43099999999999999</v>
      </c>
      <c r="I56" s="3">
        <v>0.71700000000000008</v>
      </c>
      <c r="J56" s="3" t="str" cm="1">
        <f t="array" ref="J56">_xlfn.IFS(Table1[[#This Row],[Overall Attendance]]&gt;=0.6,"Good",Table1[[#This Row],[Overall Attendance]]&lt;0.6,"Bad")</f>
        <v>Good</v>
      </c>
      <c r="K56" s="4">
        <v>27957</v>
      </c>
      <c r="L56" s="4">
        <f t="shared" si="0"/>
        <v>335484</v>
      </c>
      <c r="M56" s="4" t="str" cm="1">
        <f t="array" ref="M5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6" s="2">
        <v>9.6999999999999993</v>
      </c>
      <c r="O56" s="2" t="str" cm="1">
        <f t="array" ref="O56">_xlfn.IFS(Table1[[#This Row],[Distance to School (km)]]&gt;=5,"Far",Table1[[#This Row],[Distance to School (km)]]&lt;5,"Near")</f>
        <v>Far</v>
      </c>
      <c r="P56" s="5">
        <f t="shared" si="1"/>
        <v>0.42599999999999993</v>
      </c>
    </row>
    <row r="57" spans="1:16" x14ac:dyDescent="0.2">
      <c r="A57" s="2" t="s">
        <v>62</v>
      </c>
      <c r="B57" s="2" t="s">
        <v>666</v>
      </c>
      <c r="C57" s="2" t="s">
        <v>694</v>
      </c>
      <c r="D57" s="2" t="s">
        <v>668</v>
      </c>
      <c r="E57" s="2">
        <v>17</v>
      </c>
      <c r="F57" s="2" t="str" cm="1">
        <f t="array" ref="F57">_xlfn.IFS(Table1[[#This Row],[Age]]&lt;=16,"15-16",Table1[[#This Row],[Age]]&lt;19,"17-18")</f>
        <v>17-18</v>
      </c>
      <c r="G57" s="2" t="s">
        <v>758</v>
      </c>
      <c r="H57" s="3">
        <v>0.52200000000000002</v>
      </c>
      <c r="I57" s="3">
        <v>0.90599999999999992</v>
      </c>
      <c r="J57" s="3" t="str" cm="1">
        <f t="array" ref="J57">_xlfn.IFS(Table1[[#This Row],[Overall Attendance]]&gt;=0.6,"Good",Table1[[#This Row],[Overall Attendance]]&lt;0.6,"Bad")</f>
        <v>Good</v>
      </c>
      <c r="K57" s="4">
        <v>31181</v>
      </c>
      <c r="L57" s="4">
        <f t="shared" si="0"/>
        <v>374172</v>
      </c>
      <c r="M57" s="4" t="str" cm="1">
        <f t="array" ref="M5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7" s="2">
        <v>5.5</v>
      </c>
      <c r="O57" s="2" t="str" cm="1">
        <f t="array" ref="O57">_xlfn.IFS(Table1[[#This Row],[Distance to School (km)]]&gt;=5,"Far",Table1[[#This Row],[Distance to School (km)]]&lt;5,"Near")</f>
        <v>Far</v>
      </c>
      <c r="P57" s="5">
        <f t="shared" si="1"/>
        <v>0.28600000000000003</v>
      </c>
    </row>
    <row r="58" spans="1:16" x14ac:dyDescent="0.2">
      <c r="A58" s="2" t="s">
        <v>63</v>
      </c>
      <c r="B58" s="2" t="s">
        <v>662</v>
      </c>
      <c r="C58" s="2" t="s">
        <v>713</v>
      </c>
      <c r="D58" s="2" t="s">
        <v>750</v>
      </c>
      <c r="E58" s="2">
        <v>17</v>
      </c>
      <c r="F58" s="2" t="str" cm="1">
        <f t="array" ref="F58">_xlfn.IFS(Table1[[#This Row],[Age]]&lt;=16,"15-16",Table1[[#This Row],[Age]]&lt;19,"17-18")</f>
        <v>17-18</v>
      </c>
      <c r="G58" s="2" t="s">
        <v>758</v>
      </c>
      <c r="H58" s="3">
        <v>0.68500000000000005</v>
      </c>
      <c r="I58" s="3">
        <v>0.92900000000000005</v>
      </c>
      <c r="J58" s="3" t="str" cm="1">
        <f t="array" ref="J58">_xlfn.IFS(Table1[[#This Row],[Overall Attendance]]&gt;=0.6,"Good",Table1[[#This Row],[Overall Attendance]]&lt;0.6,"Bad")</f>
        <v>Good</v>
      </c>
      <c r="K58" s="4">
        <v>341079</v>
      </c>
      <c r="L58" s="4">
        <f t="shared" si="0"/>
        <v>4092948</v>
      </c>
      <c r="M58" s="4" t="str" cm="1">
        <f t="array" ref="M5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8" s="2">
        <v>5.8</v>
      </c>
      <c r="O58" s="2" t="str" cm="1">
        <f t="array" ref="O58">_xlfn.IFS(Table1[[#This Row],[Distance to School (km)]]&gt;=5,"Far",Table1[[#This Row],[Distance to School (km)]]&lt;5,"Near")</f>
        <v>Far</v>
      </c>
      <c r="P58" s="5">
        <f t="shared" si="1"/>
        <v>0.19299999999999995</v>
      </c>
    </row>
    <row r="59" spans="1:16" x14ac:dyDescent="0.2">
      <c r="A59" s="2" t="s">
        <v>64</v>
      </c>
      <c r="B59" s="2" t="s">
        <v>668</v>
      </c>
      <c r="C59" s="2" t="s">
        <v>716</v>
      </c>
      <c r="D59" s="2" t="s">
        <v>742</v>
      </c>
      <c r="E59" s="2">
        <v>18</v>
      </c>
      <c r="F59" s="2" t="str" cm="1">
        <f t="array" ref="F59">_xlfn.IFS(Table1[[#This Row],[Age]]&lt;=16,"15-16",Table1[[#This Row],[Age]]&lt;19,"17-18")</f>
        <v>17-18</v>
      </c>
      <c r="G59" s="2" t="s">
        <v>758</v>
      </c>
      <c r="H59" s="3">
        <v>0.59599999999999997</v>
      </c>
      <c r="I59" s="3">
        <v>0.92799999999999994</v>
      </c>
      <c r="J59" s="3" t="str" cm="1">
        <f t="array" ref="J59">_xlfn.IFS(Table1[[#This Row],[Overall Attendance]]&gt;=0.6,"Good",Table1[[#This Row],[Overall Attendance]]&lt;0.6,"Bad")</f>
        <v>Good</v>
      </c>
      <c r="K59" s="4">
        <v>359995</v>
      </c>
      <c r="L59" s="4">
        <f t="shared" si="0"/>
        <v>4319940</v>
      </c>
      <c r="M59" s="4" t="str" cm="1">
        <f t="array" ref="M5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9" s="2">
        <v>4.4000000000000004</v>
      </c>
      <c r="O59" s="2" t="str" cm="1">
        <f t="array" ref="O59">_xlfn.IFS(Table1[[#This Row],[Distance to School (km)]]&gt;=5,"Far",Table1[[#This Row],[Distance to School (km)]]&lt;5,"Near")</f>
        <v>Near</v>
      </c>
      <c r="P59" s="5">
        <f t="shared" si="1"/>
        <v>0.23799999999999999</v>
      </c>
    </row>
    <row r="60" spans="1:16" hidden="1" x14ac:dyDescent="0.2">
      <c r="A60" s="2" t="s">
        <v>65</v>
      </c>
      <c r="B60" s="2" t="s">
        <v>672</v>
      </c>
      <c r="C60" s="2" t="s">
        <v>717</v>
      </c>
      <c r="D60" s="2" t="s">
        <v>740</v>
      </c>
      <c r="E60" s="2">
        <v>16</v>
      </c>
      <c r="F60" s="2" t="str" cm="1">
        <f t="array" ref="F60">_xlfn.IFS(Table1[[#This Row],[Age]]&lt;=16,"15-16",Table1[[#This Row],[Age]]&lt;19,"17-18")</f>
        <v>15-16</v>
      </c>
      <c r="G60" s="2" t="s">
        <v>758</v>
      </c>
      <c r="H60" s="3">
        <v>0.56299999999999994</v>
      </c>
      <c r="I60" s="3">
        <v>0.88099999999999989</v>
      </c>
      <c r="J60" s="3" t="str" cm="1">
        <f t="array" ref="J60">_xlfn.IFS(Table1[[#This Row],[Overall Attendance]]&gt;=0.6,"Good",Table1[[#This Row],[Overall Attendance]]&lt;0.6,"Bad")</f>
        <v>Good</v>
      </c>
      <c r="K60" s="4">
        <v>29163</v>
      </c>
      <c r="L60" s="4">
        <f t="shared" si="0"/>
        <v>349956</v>
      </c>
      <c r="M60" s="4" t="str" cm="1">
        <f t="array" ref="M6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0" s="2">
        <v>6.4</v>
      </c>
      <c r="O60" s="2" t="str" cm="1">
        <f t="array" ref="O60">_xlfn.IFS(Table1[[#This Row],[Distance to School (km)]]&gt;=5,"Far",Table1[[#This Row],[Distance to School (km)]]&lt;5,"Near")</f>
        <v>Far</v>
      </c>
      <c r="P60" s="5">
        <f t="shared" si="1"/>
        <v>0.27800000000000002</v>
      </c>
    </row>
    <row r="61" spans="1:16" hidden="1" x14ac:dyDescent="0.2">
      <c r="A61" s="2" t="s">
        <v>66</v>
      </c>
      <c r="B61" s="2" t="s">
        <v>654</v>
      </c>
      <c r="C61" s="2" t="s">
        <v>686</v>
      </c>
      <c r="D61" s="2" t="s">
        <v>753</v>
      </c>
      <c r="E61" s="2">
        <v>15</v>
      </c>
      <c r="F61" s="2" t="str" cm="1">
        <f t="array" ref="F61">_xlfn.IFS(Table1[[#This Row],[Age]]&lt;=16,"15-16",Table1[[#This Row],[Age]]&lt;19,"17-18")</f>
        <v>15-16</v>
      </c>
      <c r="G61" s="2" t="s">
        <v>757</v>
      </c>
      <c r="H61" s="3">
        <v>0.53600000000000003</v>
      </c>
      <c r="I61" s="3">
        <v>0.79500000000000004</v>
      </c>
      <c r="J61" s="3" t="str" cm="1">
        <f t="array" ref="J61">_xlfn.IFS(Table1[[#This Row],[Overall Attendance]]&gt;=0.6,"Good",Table1[[#This Row],[Overall Attendance]]&lt;0.6,"Bad")</f>
        <v>Good</v>
      </c>
      <c r="K61" s="4">
        <v>328666</v>
      </c>
      <c r="L61" s="4">
        <f t="shared" si="0"/>
        <v>3943992</v>
      </c>
      <c r="M61" s="4" t="str" cm="1">
        <f t="array" ref="M6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1" s="2">
        <v>9.6</v>
      </c>
      <c r="O61" s="2" t="str" cm="1">
        <f t="array" ref="O61">_xlfn.IFS(Table1[[#This Row],[Distance to School (km)]]&gt;=5,"Far",Table1[[#This Row],[Distance to School (km)]]&lt;5,"Near")</f>
        <v>Far</v>
      </c>
      <c r="P61" s="5">
        <f t="shared" si="1"/>
        <v>0.33450000000000002</v>
      </c>
    </row>
    <row r="62" spans="1:16" x14ac:dyDescent="0.2">
      <c r="A62" s="2" t="s">
        <v>67</v>
      </c>
      <c r="B62" s="2" t="s">
        <v>673</v>
      </c>
      <c r="C62" s="2" t="s">
        <v>696</v>
      </c>
      <c r="D62" s="2" t="s">
        <v>646</v>
      </c>
      <c r="E62" s="2">
        <v>17</v>
      </c>
      <c r="F62" s="2" t="str" cm="1">
        <f t="array" ref="F62">_xlfn.IFS(Table1[[#This Row],[Age]]&lt;=16,"15-16",Table1[[#This Row],[Age]]&lt;19,"17-18")</f>
        <v>17-18</v>
      </c>
      <c r="G62" s="2" t="s">
        <v>758</v>
      </c>
      <c r="H62" s="3">
        <v>0.627</v>
      </c>
      <c r="I62" s="3">
        <v>0.96799999999999997</v>
      </c>
      <c r="J62" s="3" t="str" cm="1">
        <f t="array" ref="J62">_xlfn.IFS(Table1[[#This Row],[Overall Attendance]]&gt;=0.6,"Good",Table1[[#This Row],[Overall Attendance]]&lt;0.6,"Bad")</f>
        <v>Good</v>
      </c>
      <c r="K62" s="4">
        <v>172545</v>
      </c>
      <c r="L62" s="4">
        <f t="shared" si="0"/>
        <v>2070540</v>
      </c>
      <c r="M62" s="4" t="str" cm="1">
        <f t="array" ref="M6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2" s="2">
        <v>5.4</v>
      </c>
      <c r="O62" s="2" t="str" cm="1">
        <f t="array" ref="O62">_xlfn.IFS(Table1[[#This Row],[Distance to School (km)]]&gt;=5,"Far",Table1[[#This Row],[Distance to School (km)]]&lt;5,"Near")</f>
        <v>Far</v>
      </c>
      <c r="P62" s="5">
        <f t="shared" si="1"/>
        <v>0.20250000000000001</v>
      </c>
    </row>
    <row r="63" spans="1:16" x14ac:dyDescent="0.2">
      <c r="A63" s="2" t="s">
        <v>68</v>
      </c>
      <c r="B63" s="2" t="s">
        <v>664</v>
      </c>
      <c r="C63" s="2" t="s">
        <v>713</v>
      </c>
      <c r="D63" s="2" t="s">
        <v>741</v>
      </c>
      <c r="E63" s="2">
        <v>18</v>
      </c>
      <c r="F63" s="2" t="str" cm="1">
        <f t="array" ref="F63">_xlfn.IFS(Table1[[#This Row],[Age]]&lt;=16,"15-16",Table1[[#This Row],[Age]]&lt;19,"17-18")</f>
        <v>17-18</v>
      </c>
      <c r="G63" s="2" t="s">
        <v>758</v>
      </c>
      <c r="H63" s="3">
        <v>0.59</v>
      </c>
      <c r="I63" s="3">
        <v>0.88800000000000001</v>
      </c>
      <c r="J63" s="3" t="str" cm="1">
        <f t="array" ref="J63">_xlfn.IFS(Table1[[#This Row],[Overall Attendance]]&gt;=0.6,"Good",Table1[[#This Row],[Overall Attendance]]&lt;0.6,"Bad")</f>
        <v>Good</v>
      </c>
      <c r="K63" s="4">
        <v>62622</v>
      </c>
      <c r="L63" s="4">
        <f t="shared" si="0"/>
        <v>751464</v>
      </c>
      <c r="M63" s="4" t="str" cm="1">
        <f t="array" ref="M6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3" s="2">
        <v>2.7</v>
      </c>
      <c r="O63" s="2" t="str" cm="1">
        <f t="array" ref="O63">_xlfn.IFS(Table1[[#This Row],[Distance to School (km)]]&gt;=5,"Far",Table1[[#This Row],[Distance to School (km)]]&lt;5,"Near")</f>
        <v>Near</v>
      </c>
      <c r="P63" s="5">
        <f t="shared" si="1"/>
        <v>0.26100000000000001</v>
      </c>
    </row>
    <row r="64" spans="1:16" hidden="1" x14ac:dyDescent="0.2">
      <c r="A64" s="2" t="s">
        <v>69</v>
      </c>
      <c r="B64" s="2" t="s">
        <v>657</v>
      </c>
      <c r="C64" s="2" t="s">
        <v>718</v>
      </c>
      <c r="D64" s="2" t="s">
        <v>739</v>
      </c>
      <c r="E64" s="2">
        <v>15</v>
      </c>
      <c r="F64" s="2" t="str" cm="1">
        <f t="array" ref="F64">_xlfn.IFS(Table1[[#This Row],[Age]]&lt;=16,"15-16",Table1[[#This Row],[Age]]&lt;19,"17-18")</f>
        <v>15-16</v>
      </c>
      <c r="G64" s="2" t="s">
        <v>758</v>
      </c>
      <c r="H64" s="3">
        <v>0.52300000000000002</v>
      </c>
      <c r="I64" s="3">
        <v>0.80700000000000005</v>
      </c>
      <c r="J64" s="3" t="str" cm="1">
        <f t="array" ref="J64">_xlfn.IFS(Table1[[#This Row],[Overall Attendance]]&gt;=0.6,"Good",Table1[[#This Row],[Overall Attendance]]&lt;0.6,"Bad")</f>
        <v>Good</v>
      </c>
      <c r="K64" s="4">
        <v>138830</v>
      </c>
      <c r="L64" s="4">
        <f t="shared" si="0"/>
        <v>1665960</v>
      </c>
      <c r="M64" s="4" t="str" cm="1">
        <f t="array" ref="M6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4" s="2">
        <v>2.6</v>
      </c>
      <c r="O64" s="2" t="str" cm="1">
        <f t="array" ref="O64">_xlfn.IFS(Table1[[#This Row],[Distance to School (km)]]&gt;=5,"Far",Table1[[#This Row],[Distance to School (km)]]&lt;5,"Near")</f>
        <v>Near</v>
      </c>
      <c r="P64" s="5">
        <f t="shared" si="1"/>
        <v>0.33499999999999996</v>
      </c>
    </row>
    <row r="65" spans="1:16" x14ac:dyDescent="0.2">
      <c r="A65" s="2" t="s">
        <v>70</v>
      </c>
      <c r="B65" s="2" t="s">
        <v>644</v>
      </c>
      <c r="C65" s="2" t="s">
        <v>692</v>
      </c>
      <c r="D65" s="2" t="s">
        <v>745</v>
      </c>
      <c r="E65" s="2">
        <v>17</v>
      </c>
      <c r="F65" s="2" t="str" cm="1">
        <f t="array" ref="F65">_xlfn.IFS(Table1[[#This Row],[Age]]&lt;=16,"15-16",Table1[[#This Row],[Age]]&lt;19,"17-18")</f>
        <v>17-18</v>
      </c>
      <c r="G65" s="2" t="s">
        <v>757</v>
      </c>
      <c r="H65" s="3">
        <v>0.44500000000000001</v>
      </c>
      <c r="I65" s="3">
        <v>0.76900000000000002</v>
      </c>
      <c r="J65" s="3" t="str" cm="1">
        <f t="array" ref="J65">_xlfn.IFS(Table1[[#This Row],[Overall Attendance]]&gt;=0.6,"Good",Table1[[#This Row],[Overall Attendance]]&lt;0.6,"Bad")</f>
        <v>Good</v>
      </c>
      <c r="K65" s="4">
        <v>24137</v>
      </c>
      <c r="L65" s="4">
        <f t="shared" si="0"/>
        <v>289644</v>
      </c>
      <c r="M65" s="4" t="str" cm="1">
        <f t="array" ref="M6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5" s="2">
        <v>10.5</v>
      </c>
      <c r="O65" s="2" t="str" cm="1">
        <f t="array" ref="O65">_xlfn.IFS(Table1[[#This Row],[Distance to School (km)]]&gt;=5,"Far",Table1[[#This Row],[Distance to School (km)]]&lt;5,"Near")</f>
        <v>Far</v>
      </c>
      <c r="P65" s="5">
        <f t="shared" si="1"/>
        <v>0.39300000000000002</v>
      </c>
    </row>
    <row r="66" spans="1:16" hidden="1" x14ac:dyDescent="0.2">
      <c r="A66" s="2" t="s">
        <v>71</v>
      </c>
      <c r="B66" s="2" t="s">
        <v>674</v>
      </c>
      <c r="C66" s="2" t="s">
        <v>719</v>
      </c>
      <c r="D66" s="2" t="s">
        <v>754</v>
      </c>
      <c r="E66" s="2">
        <v>15</v>
      </c>
      <c r="F66" s="2" t="str" cm="1">
        <f t="array" ref="F66">_xlfn.IFS(Table1[[#This Row],[Age]]&lt;=16,"15-16",Table1[[#This Row],[Age]]&lt;19,"17-18")</f>
        <v>15-16</v>
      </c>
      <c r="G66" s="2" t="s">
        <v>758</v>
      </c>
      <c r="H66" s="3">
        <v>0.63600000000000001</v>
      </c>
      <c r="I66" s="3">
        <v>0.85</v>
      </c>
      <c r="J66" s="3" t="str" cm="1">
        <f t="array" ref="J66">_xlfn.IFS(Table1[[#This Row],[Overall Attendance]]&gt;=0.6,"Good",Table1[[#This Row],[Overall Attendance]]&lt;0.6,"Bad")</f>
        <v>Good</v>
      </c>
      <c r="K66" s="4">
        <v>217130</v>
      </c>
      <c r="L66" s="4">
        <f t="shared" si="0"/>
        <v>2605560</v>
      </c>
      <c r="M66" s="4" t="str" cm="1">
        <f t="array" ref="M6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6" s="2">
        <v>6.2</v>
      </c>
      <c r="O66" s="2" t="str" cm="1">
        <f t="array" ref="O66">_xlfn.IFS(Table1[[#This Row],[Distance to School (km)]]&gt;=5,"Far",Table1[[#This Row],[Distance to School (km)]]&lt;5,"Near")</f>
        <v>Far</v>
      </c>
      <c r="P66" s="5">
        <f t="shared" si="1"/>
        <v>0.25700000000000001</v>
      </c>
    </row>
    <row r="67" spans="1:16" x14ac:dyDescent="0.2">
      <c r="A67" s="2" t="s">
        <v>72</v>
      </c>
      <c r="B67" s="2" t="s">
        <v>675</v>
      </c>
      <c r="C67" s="2" t="s">
        <v>695</v>
      </c>
      <c r="D67" s="2" t="s">
        <v>748</v>
      </c>
      <c r="E67" s="2">
        <v>18</v>
      </c>
      <c r="F67" s="2" t="str" cm="1">
        <f t="array" ref="F67">_xlfn.IFS(Table1[[#This Row],[Age]]&lt;=16,"15-16",Table1[[#This Row],[Age]]&lt;19,"17-18")</f>
        <v>17-18</v>
      </c>
      <c r="G67" s="2" t="s">
        <v>757</v>
      </c>
      <c r="H67" s="3">
        <v>0.69799999999999995</v>
      </c>
      <c r="I67" s="3">
        <v>0.8590000000000001</v>
      </c>
      <c r="J67" s="3" t="str" cm="1">
        <f t="array" ref="J67">_xlfn.IFS(Table1[[#This Row],[Overall Attendance]]&gt;=0.6,"Good",Table1[[#This Row],[Overall Attendance]]&lt;0.6,"Bad")</f>
        <v>Good</v>
      </c>
      <c r="K67" s="4">
        <v>77275</v>
      </c>
      <c r="L67" s="4">
        <f t="shared" ref="L67:L130" si="2">K67*12</f>
        <v>927300</v>
      </c>
      <c r="M67" s="4" t="str" cm="1">
        <f t="array" ref="M6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7" s="2">
        <v>9.4</v>
      </c>
      <c r="O67" s="2" t="str" cm="1">
        <f t="array" ref="O67">_xlfn.IFS(Table1[[#This Row],[Distance to School (km)]]&gt;=5,"Far",Table1[[#This Row],[Distance to School (km)]]&lt;5,"Near")</f>
        <v>Far</v>
      </c>
      <c r="P67" s="5">
        <f t="shared" ref="P67:P130" si="3">100%-AVERAGE(H67:I67)</f>
        <v>0.22150000000000003</v>
      </c>
    </row>
    <row r="68" spans="1:16" hidden="1" x14ac:dyDescent="0.2">
      <c r="A68" s="2" t="s">
        <v>73</v>
      </c>
      <c r="B68" s="2" t="s">
        <v>676</v>
      </c>
      <c r="C68" s="2" t="s">
        <v>697</v>
      </c>
      <c r="D68" s="2" t="s">
        <v>747</v>
      </c>
      <c r="E68" s="2">
        <v>16</v>
      </c>
      <c r="F68" s="2" t="str" cm="1">
        <f t="array" ref="F68">_xlfn.IFS(Table1[[#This Row],[Age]]&lt;=16,"15-16",Table1[[#This Row],[Age]]&lt;19,"17-18")</f>
        <v>15-16</v>
      </c>
      <c r="G68" s="2" t="s">
        <v>758</v>
      </c>
      <c r="H68" s="3">
        <v>0.72199999999999998</v>
      </c>
      <c r="I68" s="3">
        <v>0.81499999999999995</v>
      </c>
      <c r="J68" s="3" t="str" cm="1">
        <f t="array" ref="J68">_xlfn.IFS(Table1[[#This Row],[Overall Attendance]]&gt;=0.6,"Good",Table1[[#This Row],[Overall Attendance]]&lt;0.6,"Bad")</f>
        <v>Good</v>
      </c>
      <c r="K68" s="4">
        <v>40349</v>
      </c>
      <c r="L68" s="4">
        <f t="shared" si="2"/>
        <v>484188</v>
      </c>
      <c r="M68" s="4" t="str" cm="1">
        <f t="array" ref="M6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8" s="2">
        <v>11.4</v>
      </c>
      <c r="O68" s="2" t="str" cm="1">
        <f t="array" ref="O68">_xlfn.IFS(Table1[[#This Row],[Distance to School (km)]]&gt;=5,"Far",Table1[[#This Row],[Distance to School (km)]]&lt;5,"Near")</f>
        <v>Far</v>
      </c>
      <c r="P68" s="5">
        <f t="shared" si="3"/>
        <v>0.23150000000000004</v>
      </c>
    </row>
    <row r="69" spans="1:16" x14ac:dyDescent="0.2">
      <c r="A69" s="2" t="s">
        <v>74</v>
      </c>
      <c r="B69" s="2" t="s">
        <v>663</v>
      </c>
      <c r="C69" s="2" t="s">
        <v>692</v>
      </c>
      <c r="D69" s="2" t="s">
        <v>742</v>
      </c>
      <c r="E69" s="2">
        <v>18</v>
      </c>
      <c r="F69" s="2" t="str" cm="1">
        <f t="array" ref="F69">_xlfn.IFS(Table1[[#This Row],[Age]]&lt;=16,"15-16",Table1[[#This Row],[Age]]&lt;19,"17-18")</f>
        <v>17-18</v>
      </c>
      <c r="G69" s="2" t="s">
        <v>757</v>
      </c>
      <c r="H69" s="3">
        <v>0.66099999999999992</v>
      </c>
      <c r="I69" s="3">
        <v>0.872</v>
      </c>
      <c r="J69" s="3" t="str" cm="1">
        <f t="array" ref="J69">_xlfn.IFS(Table1[[#This Row],[Overall Attendance]]&gt;=0.6,"Good",Table1[[#This Row],[Overall Attendance]]&lt;0.6,"Bad")</f>
        <v>Good</v>
      </c>
      <c r="K69" s="4">
        <v>307091</v>
      </c>
      <c r="L69" s="4">
        <f t="shared" si="2"/>
        <v>3685092</v>
      </c>
      <c r="M69" s="4" t="str" cm="1">
        <f t="array" ref="M6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9" s="2">
        <v>8.4</v>
      </c>
      <c r="O69" s="2" t="str" cm="1">
        <f t="array" ref="O69">_xlfn.IFS(Table1[[#This Row],[Distance to School (km)]]&gt;=5,"Far",Table1[[#This Row],[Distance to School (km)]]&lt;5,"Near")</f>
        <v>Far</v>
      </c>
      <c r="P69" s="5">
        <f t="shared" si="3"/>
        <v>0.23350000000000004</v>
      </c>
    </row>
    <row r="70" spans="1:16" ht="15" hidden="1" x14ac:dyDescent="0.25">
      <c r="A70" s="2" t="s">
        <v>75</v>
      </c>
      <c r="B70" s="2" t="s">
        <v>645</v>
      </c>
      <c r="C70" s="2" t="s">
        <v>709</v>
      </c>
      <c r="D70" s="2" t="s">
        <v>748</v>
      </c>
      <c r="E70" s="2">
        <v>16</v>
      </c>
      <c r="F70" s="2" t="str" cm="1">
        <f t="array" ref="F70">_xlfn.IFS(Table1[[#This Row],[Age]]&lt;=16,"15-16",Table1[[#This Row],[Age]]&lt;19,"17-18")</f>
        <v>15-16</v>
      </c>
      <c r="G70" s="2" t="s">
        <v>758</v>
      </c>
      <c r="H70" s="3">
        <v>0.56999999999999995</v>
      </c>
      <c r="I70" s="3">
        <v>0.67</v>
      </c>
      <c r="J70" s="3" t="str" cm="1">
        <f t="array" ref="J70">_xlfn.IFS(Table1[[#This Row],[Overall Attendance]]&gt;=0.6,"Good",Table1[[#This Row],[Overall Attendance]]&lt;0.6,"Bad")</f>
        <v>Good</v>
      </c>
      <c r="K70" s="4">
        <v>190097</v>
      </c>
      <c r="L70" s="4">
        <f t="shared" si="2"/>
        <v>2281164</v>
      </c>
      <c r="M70" s="4" t="str" cm="1">
        <f t="array" ref="M7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70" s="2">
        <v>9.6</v>
      </c>
      <c r="O70" s="2" t="str" cm="1">
        <f t="array" ref="O70">_xlfn.IFS(Table1[[#This Row],[Distance to School (km)]]&gt;=5,"Far",Table1[[#This Row],[Distance to School (km)]]&lt;5,"Near")</f>
        <v>Far</v>
      </c>
      <c r="P70" s="5">
        <f t="shared" si="3"/>
        <v>0.38</v>
      </c>
    </row>
    <row r="71" spans="1:16" ht="15" x14ac:dyDescent="0.25">
      <c r="A71" s="2" t="s">
        <v>76</v>
      </c>
      <c r="B71" s="2" t="s">
        <v>656</v>
      </c>
      <c r="C71" s="2" t="s">
        <v>720</v>
      </c>
      <c r="D71" s="2" t="s">
        <v>736</v>
      </c>
      <c r="E71" s="2">
        <v>17</v>
      </c>
      <c r="F71" s="2" t="str" cm="1">
        <f t="array" ref="F71">_xlfn.IFS(Table1[[#This Row],[Age]]&lt;=16,"15-16",Table1[[#This Row],[Age]]&lt;19,"17-18")</f>
        <v>17-18</v>
      </c>
      <c r="G71" s="2" t="s">
        <v>758</v>
      </c>
      <c r="H71" s="3">
        <v>0.46299999999999997</v>
      </c>
      <c r="I71" s="3">
        <v>0.64500000000000002</v>
      </c>
      <c r="J71" s="3" t="str" cm="1">
        <f t="array" ref="J71">_xlfn.IFS(Table1[[#This Row],[Overall Attendance]]&gt;=0.6,"Good",Table1[[#This Row],[Overall Attendance]]&lt;0.6,"Bad")</f>
        <v>Good</v>
      </c>
      <c r="K71" s="4">
        <v>59322</v>
      </c>
      <c r="L71" s="4">
        <f t="shared" si="2"/>
        <v>711864</v>
      </c>
      <c r="M71" s="4" t="str" cm="1">
        <f t="array" ref="M7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71" s="2">
        <v>9.6</v>
      </c>
      <c r="O71" s="2" t="str" cm="1">
        <f t="array" ref="O71">_xlfn.IFS(Table1[[#This Row],[Distance to School (km)]]&gt;=5,"Far",Table1[[#This Row],[Distance to School (km)]]&lt;5,"Near")</f>
        <v>Far</v>
      </c>
      <c r="P71" s="5">
        <f t="shared" si="3"/>
        <v>0.44599999999999995</v>
      </c>
    </row>
    <row r="72" spans="1:16" ht="15" hidden="1" x14ac:dyDescent="0.25">
      <c r="A72" s="2" t="s">
        <v>77</v>
      </c>
      <c r="B72" s="2" t="s">
        <v>664</v>
      </c>
      <c r="C72" s="2" t="s">
        <v>720</v>
      </c>
      <c r="D72" s="2" t="s">
        <v>646</v>
      </c>
      <c r="E72" s="2">
        <v>15</v>
      </c>
      <c r="F72" s="2" t="str" cm="1">
        <f t="array" ref="F72">_xlfn.IFS(Table1[[#This Row],[Age]]&lt;=16,"15-16",Table1[[#This Row],[Age]]&lt;19,"17-18")</f>
        <v>15-16</v>
      </c>
      <c r="G72" s="2" t="s">
        <v>758</v>
      </c>
      <c r="H72" s="3">
        <v>0.57899999999999996</v>
      </c>
      <c r="I72" s="3">
        <v>0.91599999999999993</v>
      </c>
      <c r="J72" s="3" t="str" cm="1">
        <f t="array" ref="J72">_xlfn.IFS(Table1[[#This Row],[Overall Attendance]]&gt;=0.6,"Good",Table1[[#This Row],[Overall Attendance]]&lt;0.6,"Bad")</f>
        <v>Good</v>
      </c>
      <c r="K72" s="4">
        <v>329446</v>
      </c>
      <c r="L72" s="4">
        <f t="shared" si="2"/>
        <v>3953352</v>
      </c>
      <c r="M72" s="4" t="str" cm="1">
        <f t="array" ref="M7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72" s="2">
        <v>1.4</v>
      </c>
      <c r="O72" s="2" t="str" cm="1">
        <f t="array" ref="O72">_xlfn.IFS(Table1[[#This Row],[Distance to School (km)]]&gt;=5,"Far",Table1[[#This Row],[Distance to School (km)]]&lt;5,"Near")</f>
        <v>Near</v>
      </c>
      <c r="P72" s="5">
        <f t="shared" si="3"/>
        <v>0.25250000000000006</v>
      </c>
    </row>
    <row r="73" spans="1:16" ht="15" hidden="1" x14ac:dyDescent="0.25">
      <c r="A73" s="2" t="s">
        <v>78</v>
      </c>
      <c r="B73" s="2" t="s">
        <v>667</v>
      </c>
      <c r="C73" s="2" t="s">
        <v>718</v>
      </c>
      <c r="D73" s="2" t="s">
        <v>737</v>
      </c>
      <c r="E73" s="2">
        <v>16</v>
      </c>
      <c r="F73" s="2" t="str" cm="1">
        <f t="array" ref="F73">_xlfn.IFS(Table1[[#This Row],[Age]]&lt;=16,"15-16",Table1[[#This Row],[Age]]&lt;19,"17-18")</f>
        <v>15-16</v>
      </c>
      <c r="G73" s="2" t="s">
        <v>758</v>
      </c>
      <c r="H73" s="3">
        <v>0.62</v>
      </c>
      <c r="I73" s="3">
        <v>0.8640000000000001</v>
      </c>
      <c r="J73" s="3" t="str" cm="1">
        <f t="array" ref="J73">_xlfn.IFS(Table1[[#This Row],[Overall Attendance]]&gt;=0.6,"Good",Table1[[#This Row],[Overall Attendance]]&lt;0.6,"Bad")</f>
        <v>Good</v>
      </c>
      <c r="K73" s="4">
        <v>176956</v>
      </c>
      <c r="L73" s="4">
        <f t="shared" si="2"/>
        <v>2123472</v>
      </c>
      <c r="M73" s="4" t="str" cm="1">
        <f t="array" ref="M7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73" s="2">
        <v>7.1</v>
      </c>
      <c r="O73" s="2" t="str" cm="1">
        <f t="array" ref="O73">_xlfn.IFS(Table1[[#This Row],[Distance to School (km)]]&gt;=5,"Far",Table1[[#This Row],[Distance to School (km)]]&lt;5,"Near")</f>
        <v>Far</v>
      </c>
      <c r="P73" s="5">
        <f t="shared" si="3"/>
        <v>0.25800000000000001</v>
      </c>
    </row>
    <row r="74" spans="1:16" ht="15" x14ac:dyDescent="0.25">
      <c r="A74" s="2" t="s">
        <v>79</v>
      </c>
      <c r="B74" s="2" t="s">
        <v>677</v>
      </c>
      <c r="C74" s="2" t="s">
        <v>721</v>
      </c>
      <c r="D74" s="2" t="s">
        <v>744</v>
      </c>
      <c r="E74" s="2">
        <v>18</v>
      </c>
      <c r="F74" s="2" t="str" cm="1">
        <f t="array" ref="F74">_xlfn.IFS(Table1[[#This Row],[Age]]&lt;=16,"15-16",Table1[[#This Row],[Age]]&lt;19,"17-18")</f>
        <v>17-18</v>
      </c>
      <c r="G74" s="2" t="s">
        <v>758</v>
      </c>
      <c r="H74" s="3">
        <v>0.68599999999999994</v>
      </c>
      <c r="I74" s="3">
        <v>0.78799999999999992</v>
      </c>
      <c r="J74" s="3" t="str" cm="1">
        <f t="array" ref="J74">_xlfn.IFS(Table1[[#This Row],[Overall Attendance]]&gt;=0.6,"Good",Table1[[#This Row],[Overall Attendance]]&lt;0.6,"Bad")</f>
        <v>Good</v>
      </c>
      <c r="K74" s="4">
        <v>39180</v>
      </c>
      <c r="L74" s="4">
        <f t="shared" si="2"/>
        <v>470160</v>
      </c>
      <c r="M74" s="4" t="str" cm="1">
        <f t="array" ref="M7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74" s="2">
        <v>5.9</v>
      </c>
      <c r="O74" s="2" t="str" cm="1">
        <f t="array" ref="O74">_xlfn.IFS(Table1[[#This Row],[Distance to School (km)]]&gt;=5,"Far",Table1[[#This Row],[Distance to School (km)]]&lt;5,"Near")</f>
        <v>Far</v>
      </c>
      <c r="P74" s="5">
        <f t="shared" si="3"/>
        <v>0.26300000000000012</v>
      </c>
    </row>
    <row r="75" spans="1:16" ht="15" hidden="1" x14ac:dyDescent="0.25">
      <c r="A75" s="2" t="s">
        <v>80</v>
      </c>
      <c r="B75" s="2" t="s">
        <v>663</v>
      </c>
      <c r="C75" s="2" t="s">
        <v>722</v>
      </c>
      <c r="D75" s="2" t="s">
        <v>743</v>
      </c>
      <c r="E75" s="2">
        <v>15</v>
      </c>
      <c r="F75" s="2" t="str" cm="1">
        <f t="array" ref="F75">_xlfn.IFS(Table1[[#This Row],[Age]]&lt;=16,"15-16",Table1[[#This Row],[Age]]&lt;19,"17-18")</f>
        <v>15-16</v>
      </c>
      <c r="G75" s="2" t="s">
        <v>758</v>
      </c>
      <c r="H75" s="3">
        <v>0.68700000000000006</v>
      </c>
      <c r="I75" s="3">
        <v>0.75</v>
      </c>
      <c r="J75" s="3" t="str" cm="1">
        <f t="array" ref="J75">_xlfn.IFS(Table1[[#This Row],[Overall Attendance]]&gt;=0.6,"Good",Table1[[#This Row],[Overall Attendance]]&lt;0.6,"Bad")</f>
        <v>Good</v>
      </c>
      <c r="K75" s="4">
        <v>373693</v>
      </c>
      <c r="L75" s="4">
        <f t="shared" si="2"/>
        <v>4484316</v>
      </c>
      <c r="M75" s="4" t="str" cm="1">
        <f t="array" ref="M7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75" s="2">
        <v>9.9</v>
      </c>
      <c r="O75" s="2" t="str" cm="1">
        <f t="array" ref="O75">_xlfn.IFS(Table1[[#This Row],[Distance to School (km)]]&gt;=5,"Far",Table1[[#This Row],[Distance to School (km)]]&lt;5,"Near")</f>
        <v>Far</v>
      </c>
      <c r="P75" s="5">
        <f t="shared" si="3"/>
        <v>0.28149999999999997</v>
      </c>
    </row>
    <row r="76" spans="1:16" ht="15" hidden="1" x14ac:dyDescent="0.25">
      <c r="A76" s="2" t="s">
        <v>81</v>
      </c>
      <c r="B76" s="2" t="s">
        <v>667</v>
      </c>
      <c r="C76" s="2" t="s">
        <v>693</v>
      </c>
      <c r="D76" s="2" t="s">
        <v>741</v>
      </c>
      <c r="E76" s="2">
        <v>16</v>
      </c>
      <c r="F76" s="2" t="str" cm="1">
        <f t="array" ref="F76">_xlfn.IFS(Table1[[#This Row],[Age]]&lt;=16,"15-16",Table1[[#This Row],[Age]]&lt;19,"17-18")</f>
        <v>15-16</v>
      </c>
      <c r="G76" s="2" t="s">
        <v>758</v>
      </c>
      <c r="H76" s="3">
        <v>0.47899999999999998</v>
      </c>
      <c r="I76" s="3">
        <v>0.98</v>
      </c>
      <c r="J76" s="3" t="str" cm="1">
        <f t="array" ref="J76">_xlfn.IFS(Table1[[#This Row],[Overall Attendance]]&gt;=0.6,"Good",Table1[[#This Row],[Overall Attendance]]&lt;0.6,"Bad")</f>
        <v>Good</v>
      </c>
      <c r="K76" s="4">
        <v>372402</v>
      </c>
      <c r="L76" s="4">
        <f t="shared" si="2"/>
        <v>4468824</v>
      </c>
      <c r="M76" s="4" t="str" cm="1">
        <f t="array" ref="M7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76" s="2">
        <v>5.3</v>
      </c>
      <c r="O76" s="2" t="str" cm="1">
        <f t="array" ref="O76">_xlfn.IFS(Table1[[#This Row],[Distance to School (km)]]&gt;=5,"Far",Table1[[#This Row],[Distance to School (km)]]&lt;5,"Near")</f>
        <v>Far</v>
      </c>
      <c r="P76" s="5">
        <f t="shared" si="3"/>
        <v>0.27049999999999996</v>
      </c>
    </row>
    <row r="77" spans="1:16" ht="15" x14ac:dyDescent="0.25">
      <c r="A77" s="2" t="s">
        <v>82</v>
      </c>
      <c r="B77" s="2" t="s">
        <v>672</v>
      </c>
      <c r="C77" s="2" t="s">
        <v>707</v>
      </c>
      <c r="D77" s="2" t="s">
        <v>641</v>
      </c>
      <c r="E77" s="2">
        <v>18</v>
      </c>
      <c r="F77" s="2" t="str" cm="1">
        <f t="array" ref="F77">_xlfn.IFS(Table1[[#This Row],[Age]]&lt;=16,"15-16",Table1[[#This Row],[Age]]&lt;19,"17-18")</f>
        <v>17-18</v>
      </c>
      <c r="G77" s="2" t="s">
        <v>758</v>
      </c>
      <c r="H77" s="3">
        <v>0.58299999999999996</v>
      </c>
      <c r="I77" s="3">
        <v>0.83200000000000007</v>
      </c>
      <c r="J77" s="3" t="str" cm="1">
        <f t="array" ref="J77">_xlfn.IFS(Table1[[#This Row],[Overall Attendance]]&gt;=0.6,"Good",Table1[[#This Row],[Overall Attendance]]&lt;0.6,"Bad")</f>
        <v>Good</v>
      </c>
      <c r="K77" s="4">
        <v>275506</v>
      </c>
      <c r="L77" s="4">
        <f t="shared" si="2"/>
        <v>3306072</v>
      </c>
      <c r="M77" s="4" t="str" cm="1">
        <f t="array" ref="M7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77" s="2">
        <v>10.6</v>
      </c>
      <c r="O77" s="2" t="str" cm="1">
        <f t="array" ref="O77">_xlfn.IFS(Table1[[#This Row],[Distance to School (km)]]&gt;=5,"Far",Table1[[#This Row],[Distance to School (km)]]&lt;5,"Near")</f>
        <v>Far</v>
      </c>
      <c r="P77" s="5">
        <f t="shared" si="3"/>
        <v>0.29249999999999998</v>
      </c>
    </row>
    <row r="78" spans="1:16" ht="15" hidden="1" x14ac:dyDescent="0.25">
      <c r="A78" s="2" t="s">
        <v>83</v>
      </c>
      <c r="B78" s="2" t="s">
        <v>653</v>
      </c>
      <c r="C78" s="2" t="s">
        <v>685</v>
      </c>
      <c r="D78" s="2" t="s">
        <v>737</v>
      </c>
      <c r="E78" s="2">
        <v>15</v>
      </c>
      <c r="F78" s="2" t="str" cm="1">
        <f t="array" ref="F78">_xlfn.IFS(Table1[[#This Row],[Age]]&lt;=16,"15-16",Table1[[#This Row],[Age]]&lt;19,"17-18")</f>
        <v>15-16</v>
      </c>
      <c r="G78" s="2" t="s">
        <v>757</v>
      </c>
      <c r="H78" s="3">
        <v>0.67799999999999994</v>
      </c>
      <c r="I78" s="3">
        <v>0.67</v>
      </c>
      <c r="J78" s="3" t="str" cm="1">
        <f t="array" ref="J78">_xlfn.IFS(Table1[[#This Row],[Overall Attendance]]&gt;=0.6,"Good",Table1[[#This Row],[Overall Attendance]]&lt;0.6,"Bad")</f>
        <v>Good</v>
      </c>
      <c r="K78" s="4">
        <v>344770</v>
      </c>
      <c r="L78" s="4">
        <f t="shared" si="2"/>
        <v>4137240</v>
      </c>
      <c r="M78" s="4" t="str" cm="1">
        <f t="array" ref="M7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78" s="2">
        <v>1.6</v>
      </c>
      <c r="O78" s="2" t="str" cm="1">
        <f t="array" ref="O78">_xlfn.IFS(Table1[[#This Row],[Distance to School (km)]]&gt;=5,"Far",Table1[[#This Row],[Distance to School (km)]]&lt;5,"Near")</f>
        <v>Near</v>
      </c>
      <c r="P78" s="5">
        <f t="shared" si="3"/>
        <v>0.32600000000000007</v>
      </c>
    </row>
    <row r="79" spans="1:16" ht="15" hidden="1" x14ac:dyDescent="0.25">
      <c r="A79" s="2" t="s">
        <v>84</v>
      </c>
      <c r="B79" s="2" t="s">
        <v>677</v>
      </c>
      <c r="C79" s="2" t="s">
        <v>720</v>
      </c>
      <c r="D79" s="2" t="s">
        <v>751</v>
      </c>
      <c r="E79" s="2">
        <v>16</v>
      </c>
      <c r="F79" s="2" t="str" cm="1">
        <f t="array" ref="F79">_xlfn.IFS(Table1[[#This Row],[Age]]&lt;=16,"15-16",Table1[[#This Row],[Age]]&lt;19,"17-18")</f>
        <v>15-16</v>
      </c>
      <c r="G79" s="2" t="s">
        <v>758</v>
      </c>
      <c r="H79" s="3">
        <v>0.42899999999999999</v>
      </c>
      <c r="I79" s="3">
        <v>0.82200000000000006</v>
      </c>
      <c r="J79" s="3" t="str" cm="1">
        <f t="array" ref="J79">_xlfn.IFS(Table1[[#This Row],[Overall Attendance]]&gt;=0.6,"Good",Table1[[#This Row],[Overall Attendance]]&lt;0.6,"Bad")</f>
        <v>Good</v>
      </c>
      <c r="K79" s="4">
        <v>308919</v>
      </c>
      <c r="L79" s="4">
        <f t="shared" si="2"/>
        <v>3707028</v>
      </c>
      <c r="M79" s="4" t="str" cm="1">
        <f t="array" ref="M7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79" s="2">
        <v>11.8</v>
      </c>
      <c r="O79" s="2" t="str" cm="1">
        <f t="array" ref="O79">_xlfn.IFS(Table1[[#This Row],[Distance to School (km)]]&gt;=5,"Far",Table1[[#This Row],[Distance to School (km)]]&lt;5,"Near")</f>
        <v>Far</v>
      </c>
      <c r="P79" s="5">
        <f t="shared" si="3"/>
        <v>0.37449999999999994</v>
      </c>
    </row>
    <row r="80" spans="1:16" ht="15" x14ac:dyDescent="0.25">
      <c r="A80" s="2" t="s">
        <v>85</v>
      </c>
      <c r="B80" s="2" t="s">
        <v>662</v>
      </c>
      <c r="C80" s="2" t="s">
        <v>694</v>
      </c>
      <c r="D80" s="2" t="s">
        <v>755</v>
      </c>
      <c r="E80" s="2">
        <v>17</v>
      </c>
      <c r="F80" s="2" t="str" cm="1">
        <f t="array" ref="F80">_xlfn.IFS(Table1[[#This Row],[Age]]&lt;=16,"15-16",Table1[[#This Row],[Age]]&lt;19,"17-18")</f>
        <v>17-18</v>
      </c>
      <c r="G80" s="2" t="s">
        <v>758</v>
      </c>
      <c r="H80" s="3">
        <v>0.67900000000000005</v>
      </c>
      <c r="I80" s="3">
        <v>0.94599999999999995</v>
      </c>
      <c r="J80" s="3" t="str" cm="1">
        <f t="array" ref="J80">_xlfn.IFS(Table1[[#This Row],[Overall Attendance]]&gt;=0.6,"Good",Table1[[#This Row],[Overall Attendance]]&lt;0.6,"Bad")</f>
        <v>Good</v>
      </c>
      <c r="K80" s="4">
        <v>272417</v>
      </c>
      <c r="L80" s="4">
        <f t="shared" si="2"/>
        <v>3269004</v>
      </c>
      <c r="M80" s="4" t="str" cm="1">
        <f t="array" ref="M8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80" s="2">
        <v>4.4000000000000004</v>
      </c>
      <c r="O80" s="2" t="str" cm="1">
        <f t="array" ref="O80">_xlfn.IFS(Table1[[#This Row],[Distance to School (km)]]&gt;=5,"Far",Table1[[#This Row],[Distance to School (km)]]&lt;5,"Near")</f>
        <v>Near</v>
      </c>
      <c r="P80" s="5">
        <f t="shared" si="3"/>
        <v>0.1875</v>
      </c>
    </row>
    <row r="81" spans="1:16" ht="15" x14ac:dyDescent="0.25">
      <c r="A81" s="2" t="s">
        <v>86</v>
      </c>
      <c r="B81" s="2" t="s">
        <v>676</v>
      </c>
      <c r="C81" s="2" t="s">
        <v>710</v>
      </c>
      <c r="D81" s="2" t="s">
        <v>747</v>
      </c>
      <c r="E81" s="2">
        <v>18</v>
      </c>
      <c r="F81" s="2" t="str" cm="1">
        <f t="array" ref="F81">_xlfn.IFS(Table1[[#This Row],[Age]]&lt;=16,"15-16",Table1[[#This Row],[Age]]&lt;19,"17-18")</f>
        <v>17-18</v>
      </c>
      <c r="G81" s="2" t="s">
        <v>757</v>
      </c>
      <c r="H81" s="3">
        <v>0.46600000000000003</v>
      </c>
      <c r="I81" s="3">
        <v>0.74900000000000011</v>
      </c>
      <c r="J81" s="3" t="str" cm="1">
        <f t="array" ref="J81">_xlfn.IFS(Table1[[#This Row],[Overall Attendance]]&gt;=0.6,"Good",Table1[[#This Row],[Overall Attendance]]&lt;0.6,"Bad")</f>
        <v>Good</v>
      </c>
      <c r="K81" s="4">
        <v>341186</v>
      </c>
      <c r="L81" s="4">
        <f t="shared" si="2"/>
        <v>4094232</v>
      </c>
      <c r="M81" s="4" t="str" cm="1">
        <f t="array" ref="M8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81" s="2">
        <v>4.5</v>
      </c>
      <c r="O81" s="2" t="str" cm="1">
        <f t="array" ref="O81">_xlfn.IFS(Table1[[#This Row],[Distance to School (km)]]&gt;=5,"Far",Table1[[#This Row],[Distance to School (km)]]&lt;5,"Near")</f>
        <v>Near</v>
      </c>
      <c r="P81" s="5">
        <f t="shared" si="3"/>
        <v>0.39249999999999996</v>
      </c>
    </row>
    <row r="82" spans="1:16" ht="15" x14ac:dyDescent="0.25">
      <c r="A82" s="2" t="s">
        <v>87</v>
      </c>
      <c r="B82" s="2" t="s">
        <v>655</v>
      </c>
      <c r="C82" s="2" t="s">
        <v>722</v>
      </c>
      <c r="D82" s="2" t="s">
        <v>646</v>
      </c>
      <c r="E82" s="2">
        <v>18</v>
      </c>
      <c r="F82" s="2" t="str" cm="1">
        <f t="array" ref="F82">_xlfn.IFS(Table1[[#This Row],[Age]]&lt;=16,"15-16",Table1[[#This Row],[Age]]&lt;19,"17-18")</f>
        <v>17-18</v>
      </c>
      <c r="G82" s="2" t="s">
        <v>758</v>
      </c>
      <c r="H82" s="3">
        <v>0.628</v>
      </c>
      <c r="I82" s="3">
        <v>0.91799999999999993</v>
      </c>
      <c r="J82" s="3" t="str" cm="1">
        <f t="array" ref="J82">_xlfn.IFS(Table1[[#This Row],[Overall Attendance]]&gt;=0.6,"Good",Table1[[#This Row],[Overall Attendance]]&lt;0.6,"Bad")</f>
        <v>Good</v>
      </c>
      <c r="K82" s="4">
        <v>283409</v>
      </c>
      <c r="L82" s="4">
        <f t="shared" si="2"/>
        <v>3400908</v>
      </c>
      <c r="M82" s="4" t="str" cm="1">
        <f t="array" ref="M8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82" s="2">
        <v>8.6</v>
      </c>
      <c r="O82" s="2" t="str" cm="1">
        <f t="array" ref="O82">_xlfn.IFS(Table1[[#This Row],[Distance to School (km)]]&gt;=5,"Far",Table1[[#This Row],[Distance to School (km)]]&lt;5,"Near")</f>
        <v>Far</v>
      </c>
      <c r="P82" s="5">
        <f t="shared" si="3"/>
        <v>0.22700000000000009</v>
      </c>
    </row>
    <row r="83" spans="1:16" ht="15" x14ac:dyDescent="0.25">
      <c r="A83" s="2" t="s">
        <v>88</v>
      </c>
      <c r="B83" s="2" t="s">
        <v>677</v>
      </c>
      <c r="C83" s="2" t="s">
        <v>723</v>
      </c>
      <c r="D83" s="2" t="s">
        <v>751</v>
      </c>
      <c r="E83" s="2">
        <v>18</v>
      </c>
      <c r="F83" s="2" t="str" cm="1">
        <f t="array" ref="F83">_xlfn.IFS(Table1[[#This Row],[Age]]&lt;=16,"15-16",Table1[[#This Row],[Age]]&lt;19,"17-18")</f>
        <v>17-18</v>
      </c>
      <c r="G83" s="2" t="s">
        <v>758</v>
      </c>
      <c r="H83" s="3">
        <v>0.58700000000000008</v>
      </c>
      <c r="I83" s="3">
        <v>0.82099999999999995</v>
      </c>
      <c r="J83" s="3" t="str" cm="1">
        <f t="array" ref="J83">_xlfn.IFS(Table1[[#This Row],[Overall Attendance]]&gt;=0.6,"Good",Table1[[#This Row],[Overall Attendance]]&lt;0.6,"Bad")</f>
        <v>Good</v>
      </c>
      <c r="K83" s="4">
        <v>226310</v>
      </c>
      <c r="L83" s="4">
        <f t="shared" si="2"/>
        <v>2715720</v>
      </c>
      <c r="M83" s="4" t="str" cm="1">
        <f t="array" ref="M8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83" s="2">
        <v>1.6</v>
      </c>
      <c r="O83" s="2" t="str" cm="1">
        <f t="array" ref="O83">_xlfn.IFS(Table1[[#This Row],[Distance to School (km)]]&gt;=5,"Far",Table1[[#This Row],[Distance to School (km)]]&lt;5,"Near")</f>
        <v>Near</v>
      </c>
      <c r="P83" s="5">
        <f t="shared" si="3"/>
        <v>0.29600000000000004</v>
      </c>
    </row>
    <row r="84" spans="1:16" ht="15" x14ac:dyDescent="0.25">
      <c r="A84" s="2" t="s">
        <v>89</v>
      </c>
      <c r="B84" s="2" t="s">
        <v>662</v>
      </c>
      <c r="C84" s="2" t="s">
        <v>652</v>
      </c>
      <c r="D84" s="2" t="s">
        <v>750</v>
      </c>
      <c r="E84" s="2">
        <v>17</v>
      </c>
      <c r="F84" s="2" t="str" cm="1">
        <f t="array" ref="F84">_xlfn.IFS(Table1[[#This Row],[Age]]&lt;=16,"15-16",Table1[[#This Row],[Age]]&lt;19,"17-18")</f>
        <v>17-18</v>
      </c>
      <c r="G84" s="2" t="s">
        <v>757</v>
      </c>
      <c r="H84" s="3">
        <v>0.83900000000000008</v>
      </c>
      <c r="I84" s="3">
        <v>0.628</v>
      </c>
      <c r="J84" s="3" t="str" cm="1">
        <f t="array" ref="J84">_xlfn.IFS(Table1[[#This Row],[Overall Attendance]]&gt;=0.6,"Good",Table1[[#This Row],[Overall Attendance]]&lt;0.6,"Bad")</f>
        <v>Good</v>
      </c>
      <c r="K84" s="4">
        <v>288752</v>
      </c>
      <c r="L84" s="4">
        <f t="shared" si="2"/>
        <v>3465024</v>
      </c>
      <c r="M84" s="4" t="str" cm="1">
        <f t="array" ref="M8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84" s="2">
        <v>8</v>
      </c>
      <c r="O84" s="2" t="str" cm="1">
        <f t="array" ref="O84">_xlfn.IFS(Table1[[#This Row],[Distance to School (km)]]&gt;=5,"Far",Table1[[#This Row],[Distance to School (km)]]&lt;5,"Near")</f>
        <v>Far</v>
      </c>
      <c r="P84" s="5">
        <f t="shared" si="3"/>
        <v>0.26649999999999996</v>
      </c>
    </row>
    <row r="85" spans="1:16" ht="15" x14ac:dyDescent="0.25">
      <c r="A85" s="2" t="s">
        <v>90</v>
      </c>
      <c r="B85" s="2" t="s">
        <v>653</v>
      </c>
      <c r="C85" s="2" t="s">
        <v>722</v>
      </c>
      <c r="D85" s="2" t="s">
        <v>646</v>
      </c>
      <c r="E85" s="2">
        <v>17</v>
      </c>
      <c r="F85" s="2" t="str" cm="1">
        <f t="array" ref="F85">_xlfn.IFS(Table1[[#This Row],[Age]]&lt;=16,"15-16",Table1[[#This Row],[Age]]&lt;19,"17-18")</f>
        <v>17-18</v>
      </c>
      <c r="G85" s="2" t="s">
        <v>758</v>
      </c>
      <c r="H85" s="3">
        <v>0.72599999999999998</v>
      </c>
      <c r="I85" s="3">
        <v>0.745</v>
      </c>
      <c r="J85" s="3" t="str" cm="1">
        <f t="array" ref="J85">_xlfn.IFS(Table1[[#This Row],[Overall Attendance]]&gt;=0.6,"Good",Table1[[#This Row],[Overall Attendance]]&lt;0.6,"Bad")</f>
        <v>Good</v>
      </c>
      <c r="K85" s="4">
        <v>52353</v>
      </c>
      <c r="L85" s="4">
        <f t="shared" si="2"/>
        <v>628236</v>
      </c>
      <c r="M85" s="4" t="str" cm="1">
        <f t="array" ref="M8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85" s="2">
        <v>7.8</v>
      </c>
      <c r="O85" s="2" t="str" cm="1">
        <f t="array" ref="O85">_xlfn.IFS(Table1[[#This Row],[Distance to School (km)]]&gt;=5,"Far",Table1[[#This Row],[Distance to School (km)]]&lt;5,"Near")</f>
        <v>Far</v>
      </c>
      <c r="P85" s="5">
        <f t="shared" si="3"/>
        <v>0.26449999999999996</v>
      </c>
    </row>
    <row r="86" spans="1:16" ht="15" hidden="1" x14ac:dyDescent="0.25">
      <c r="A86" s="2" t="s">
        <v>91</v>
      </c>
      <c r="B86" s="2" t="s">
        <v>670</v>
      </c>
      <c r="C86" s="2" t="s">
        <v>652</v>
      </c>
      <c r="D86" s="2" t="s">
        <v>750</v>
      </c>
      <c r="E86" s="2">
        <v>15</v>
      </c>
      <c r="F86" s="2" t="str" cm="1">
        <f t="array" ref="F86">_xlfn.IFS(Table1[[#This Row],[Age]]&lt;=16,"15-16",Table1[[#This Row],[Age]]&lt;19,"17-18")</f>
        <v>15-16</v>
      </c>
      <c r="G86" s="2" t="s">
        <v>757</v>
      </c>
      <c r="H86" s="3">
        <v>0.82099999999999995</v>
      </c>
      <c r="I86" s="3">
        <v>0.79700000000000004</v>
      </c>
      <c r="J86" s="3" t="str" cm="1">
        <f t="array" ref="J86">_xlfn.IFS(Table1[[#This Row],[Overall Attendance]]&gt;=0.6,"Good",Table1[[#This Row],[Overall Attendance]]&lt;0.6,"Bad")</f>
        <v>Good</v>
      </c>
      <c r="K86" s="4">
        <v>158154</v>
      </c>
      <c r="L86" s="4">
        <f t="shared" si="2"/>
        <v>1897848</v>
      </c>
      <c r="M86" s="4" t="str" cm="1">
        <f t="array" ref="M8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86" s="2">
        <v>10.9</v>
      </c>
      <c r="O86" s="2" t="str" cm="1">
        <f t="array" ref="O86">_xlfn.IFS(Table1[[#This Row],[Distance to School (km)]]&gt;=5,"Far",Table1[[#This Row],[Distance to School (km)]]&lt;5,"Near")</f>
        <v>Far</v>
      </c>
      <c r="P86" s="5">
        <f t="shared" si="3"/>
        <v>0.19100000000000006</v>
      </c>
    </row>
    <row r="87" spans="1:16" ht="15" hidden="1" x14ac:dyDescent="0.25">
      <c r="A87" s="2" t="s">
        <v>92</v>
      </c>
      <c r="B87" s="2" t="s">
        <v>649</v>
      </c>
      <c r="C87" s="2" t="s">
        <v>688</v>
      </c>
      <c r="D87" s="2" t="s">
        <v>748</v>
      </c>
      <c r="E87" s="2">
        <v>15</v>
      </c>
      <c r="F87" s="2" t="str" cm="1">
        <f t="array" ref="F87">_xlfn.IFS(Table1[[#This Row],[Age]]&lt;=16,"15-16",Table1[[#This Row],[Age]]&lt;19,"17-18")</f>
        <v>15-16</v>
      </c>
      <c r="G87" s="2" t="s">
        <v>758</v>
      </c>
      <c r="H87" s="3">
        <v>0.54</v>
      </c>
      <c r="I87" s="3">
        <v>0.90200000000000002</v>
      </c>
      <c r="J87" s="3" t="str" cm="1">
        <f t="array" ref="J87">_xlfn.IFS(Table1[[#This Row],[Overall Attendance]]&gt;=0.6,"Good",Table1[[#This Row],[Overall Attendance]]&lt;0.6,"Bad")</f>
        <v>Good</v>
      </c>
      <c r="K87" s="4">
        <v>84811</v>
      </c>
      <c r="L87" s="4">
        <f t="shared" si="2"/>
        <v>1017732</v>
      </c>
      <c r="M87" s="4" t="str" cm="1">
        <f t="array" ref="M8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87" s="2">
        <v>2.5</v>
      </c>
      <c r="O87" s="2" t="str" cm="1">
        <f t="array" ref="O87">_xlfn.IFS(Table1[[#This Row],[Distance to School (km)]]&gt;=5,"Far",Table1[[#This Row],[Distance to School (km)]]&lt;5,"Near")</f>
        <v>Near</v>
      </c>
      <c r="P87" s="5">
        <f t="shared" si="3"/>
        <v>0.27899999999999991</v>
      </c>
    </row>
    <row r="88" spans="1:16" ht="15" hidden="1" x14ac:dyDescent="0.25">
      <c r="A88" s="2" t="s">
        <v>93</v>
      </c>
      <c r="B88" s="2" t="s">
        <v>678</v>
      </c>
      <c r="C88" s="2" t="s">
        <v>707</v>
      </c>
      <c r="D88" s="2" t="s">
        <v>736</v>
      </c>
      <c r="E88" s="2">
        <v>15</v>
      </c>
      <c r="F88" s="2" t="str" cm="1">
        <f t="array" ref="F88">_xlfn.IFS(Table1[[#This Row],[Age]]&lt;=16,"15-16",Table1[[#This Row],[Age]]&lt;19,"17-18")</f>
        <v>15-16</v>
      </c>
      <c r="G88" s="2" t="s">
        <v>758</v>
      </c>
      <c r="H88" s="3">
        <v>0.46100000000000002</v>
      </c>
      <c r="I88" s="3">
        <v>0.82200000000000006</v>
      </c>
      <c r="J88" s="3" t="str" cm="1">
        <f t="array" ref="J88">_xlfn.IFS(Table1[[#This Row],[Overall Attendance]]&gt;=0.6,"Good",Table1[[#This Row],[Overall Attendance]]&lt;0.6,"Bad")</f>
        <v>Good</v>
      </c>
      <c r="K88" s="4">
        <v>266579</v>
      </c>
      <c r="L88" s="4">
        <f t="shared" si="2"/>
        <v>3198948</v>
      </c>
      <c r="M88" s="4" t="str" cm="1">
        <f t="array" ref="M8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88" s="2">
        <v>3.4</v>
      </c>
      <c r="O88" s="2" t="str" cm="1">
        <f t="array" ref="O88">_xlfn.IFS(Table1[[#This Row],[Distance to School (km)]]&gt;=5,"Far",Table1[[#This Row],[Distance to School (km)]]&lt;5,"Near")</f>
        <v>Near</v>
      </c>
      <c r="P88" s="5">
        <f t="shared" si="3"/>
        <v>0.35849999999999993</v>
      </c>
    </row>
    <row r="89" spans="1:16" ht="15" x14ac:dyDescent="0.25">
      <c r="A89" s="2" t="s">
        <v>94</v>
      </c>
      <c r="B89" s="2" t="s">
        <v>678</v>
      </c>
      <c r="C89" s="2" t="s">
        <v>705</v>
      </c>
      <c r="D89" s="2" t="s">
        <v>712</v>
      </c>
      <c r="E89" s="2">
        <v>18</v>
      </c>
      <c r="F89" s="2" t="str" cm="1">
        <f t="array" ref="F89">_xlfn.IFS(Table1[[#This Row],[Age]]&lt;=16,"15-16",Table1[[#This Row],[Age]]&lt;19,"17-18")</f>
        <v>17-18</v>
      </c>
      <c r="G89" s="2" t="s">
        <v>758</v>
      </c>
      <c r="H89" s="3">
        <v>0.69099999999999995</v>
      </c>
      <c r="I89" s="3">
        <v>0.91</v>
      </c>
      <c r="J89" s="3" t="str" cm="1">
        <f t="array" ref="J89">_xlfn.IFS(Table1[[#This Row],[Overall Attendance]]&gt;=0.6,"Good",Table1[[#This Row],[Overall Attendance]]&lt;0.6,"Bad")</f>
        <v>Good</v>
      </c>
      <c r="K89" s="4">
        <v>367494</v>
      </c>
      <c r="L89" s="4">
        <f t="shared" si="2"/>
        <v>4409928</v>
      </c>
      <c r="M89" s="4" t="str" cm="1">
        <f t="array" ref="M8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89" s="2">
        <v>8.4</v>
      </c>
      <c r="O89" s="2" t="str" cm="1">
        <f t="array" ref="O89">_xlfn.IFS(Table1[[#This Row],[Distance to School (km)]]&gt;=5,"Far",Table1[[#This Row],[Distance to School (km)]]&lt;5,"Near")</f>
        <v>Far</v>
      </c>
      <c r="P89" s="5">
        <f t="shared" si="3"/>
        <v>0.19950000000000001</v>
      </c>
    </row>
    <row r="90" spans="1:16" ht="15" x14ac:dyDescent="0.25">
      <c r="A90" s="2" t="s">
        <v>95</v>
      </c>
      <c r="B90" s="2" t="s">
        <v>647</v>
      </c>
      <c r="C90" s="2" t="s">
        <v>724</v>
      </c>
      <c r="D90" s="2" t="s">
        <v>753</v>
      </c>
      <c r="E90" s="2">
        <v>18</v>
      </c>
      <c r="F90" s="2" t="str" cm="1">
        <f t="array" ref="F90">_xlfn.IFS(Table1[[#This Row],[Age]]&lt;=16,"15-16",Table1[[#This Row],[Age]]&lt;19,"17-18")</f>
        <v>17-18</v>
      </c>
      <c r="G90" s="2" t="s">
        <v>758</v>
      </c>
      <c r="H90" s="3">
        <v>0.71200000000000008</v>
      </c>
      <c r="I90" s="3">
        <v>0.88099999999999989</v>
      </c>
      <c r="J90" s="3" t="str" cm="1">
        <f t="array" ref="J90">_xlfn.IFS(Table1[[#This Row],[Overall Attendance]]&gt;=0.6,"Good",Table1[[#This Row],[Overall Attendance]]&lt;0.6,"Bad")</f>
        <v>Good</v>
      </c>
      <c r="K90" s="4">
        <v>138781</v>
      </c>
      <c r="L90" s="4">
        <f t="shared" si="2"/>
        <v>1665372</v>
      </c>
      <c r="M90" s="4" t="str" cm="1">
        <f t="array" ref="M9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90" s="2">
        <v>0.8</v>
      </c>
      <c r="O90" s="2" t="str" cm="1">
        <f t="array" ref="O90">_xlfn.IFS(Table1[[#This Row],[Distance to School (km)]]&gt;=5,"Far",Table1[[#This Row],[Distance to School (km)]]&lt;5,"Near")</f>
        <v>Near</v>
      </c>
      <c r="P90" s="5">
        <f t="shared" si="3"/>
        <v>0.20350000000000001</v>
      </c>
    </row>
    <row r="91" spans="1:16" ht="15" hidden="1" x14ac:dyDescent="0.25">
      <c r="A91" s="2" t="s">
        <v>96</v>
      </c>
      <c r="B91" s="2" t="s">
        <v>675</v>
      </c>
      <c r="C91" s="2" t="s">
        <v>725</v>
      </c>
      <c r="D91" s="2" t="s">
        <v>668</v>
      </c>
      <c r="E91" s="2">
        <v>16</v>
      </c>
      <c r="F91" s="2" t="str" cm="1">
        <f t="array" ref="F91">_xlfn.IFS(Table1[[#This Row],[Age]]&lt;=16,"15-16",Table1[[#This Row],[Age]]&lt;19,"17-18")</f>
        <v>15-16</v>
      </c>
      <c r="G91" s="2" t="s">
        <v>758</v>
      </c>
      <c r="H91" s="3">
        <v>0.67700000000000005</v>
      </c>
      <c r="I91" s="3">
        <v>0.55500000000000005</v>
      </c>
      <c r="J91" s="3" t="str" cm="1">
        <f t="array" ref="J91">_xlfn.IFS(Table1[[#This Row],[Overall Attendance]]&gt;=0.6,"Good",Table1[[#This Row],[Overall Attendance]]&lt;0.6,"Bad")</f>
        <v>Bad</v>
      </c>
      <c r="K91" s="4">
        <v>197672</v>
      </c>
      <c r="L91" s="4">
        <f t="shared" si="2"/>
        <v>2372064</v>
      </c>
      <c r="M91" s="4" t="str" cm="1">
        <f t="array" ref="M9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91" s="2">
        <v>9.4</v>
      </c>
      <c r="O91" s="2" t="str" cm="1">
        <f t="array" ref="O91">_xlfn.IFS(Table1[[#This Row],[Distance to School (km)]]&gt;=5,"Far",Table1[[#This Row],[Distance to School (km)]]&lt;5,"Near")</f>
        <v>Far</v>
      </c>
      <c r="P91" s="5">
        <f t="shared" si="3"/>
        <v>0.3839999999999999</v>
      </c>
    </row>
    <row r="92" spans="1:16" ht="15" hidden="1" x14ac:dyDescent="0.25">
      <c r="A92" s="2" t="s">
        <v>97</v>
      </c>
      <c r="B92" s="2" t="s">
        <v>653</v>
      </c>
      <c r="C92" s="2" t="s">
        <v>696</v>
      </c>
      <c r="D92" s="2" t="s">
        <v>740</v>
      </c>
      <c r="E92" s="2">
        <v>15</v>
      </c>
      <c r="F92" s="2" t="str" cm="1">
        <f t="array" ref="F92">_xlfn.IFS(Table1[[#This Row],[Age]]&lt;=16,"15-16",Table1[[#This Row],[Age]]&lt;19,"17-18")</f>
        <v>15-16</v>
      </c>
      <c r="G92" s="2" t="s">
        <v>758</v>
      </c>
      <c r="H92" s="3">
        <v>0.48899999999999999</v>
      </c>
      <c r="I92" s="3">
        <v>0.71599999999999997</v>
      </c>
      <c r="J92" s="3" t="str" cm="1">
        <f t="array" ref="J92">_xlfn.IFS(Table1[[#This Row],[Overall Attendance]]&gt;=0.6,"Good",Table1[[#This Row],[Overall Attendance]]&lt;0.6,"Bad")</f>
        <v>Good</v>
      </c>
      <c r="K92" s="4">
        <v>43623</v>
      </c>
      <c r="L92" s="4">
        <f t="shared" si="2"/>
        <v>523476</v>
      </c>
      <c r="M92" s="4" t="str" cm="1">
        <f t="array" ref="M9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92" s="2">
        <v>10.9</v>
      </c>
      <c r="O92" s="2" t="str" cm="1">
        <f t="array" ref="O92">_xlfn.IFS(Table1[[#This Row],[Distance to School (km)]]&gt;=5,"Far",Table1[[#This Row],[Distance to School (km)]]&lt;5,"Near")</f>
        <v>Far</v>
      </c>
      <c r="P92" s="5">
        <f t="shared" si="3"/>
        <v>0.39749999999999996</v>
      </c>
    </row>
    <row r="93" spans="1:16" ht="15" hidden="1" x14ac:dyDescent="0.25">
      <c r="A93" s="2" t="s">
        <v>98</v>
      </c>
      <c r="B93" s="2" t="s">
        <v>674</v>
      </c>
      <c r="C93" s="2" t="s">
        <v>688</v>
      </c>
      <c r="D93" s="2" t="s">
        <v>745</v>
      </c>
      <c r="E93" s="2">
        <v>16</v>
      </c>
      <c r="F93" s="2" t="str" cm="1">
        <f t="array" ref="F93">_xlfn.IFS(Table1[[#This Row],[Age]]&lt;=16,"15-16",Table1[[#This Row],[Age]]&lt;19,"17-18")</f>
        <v>15-16</v>
      </c>
      <c r="G93" s="2" t="s">
        <v>758</v>
      </c>
      <c r="H93" s="3">
        <v>0.44900000000000001</v>
      </c>
      <c r="I93" s="3">
        <v>0.74199999999999999</v>
      </c>
      <c r="J93" s="3" t="str" cm="1">
        <f t="array" ref="J93">_xlfn.IFS(Table1[[#This Row],[Overall Attendance]]&gt;=0.6,"Good",Table1[[#This Row],[Overall Attendance]]&lt;0.6,"Bad")</f>
        <v>Good</v>
      </c>
      <c r="K93" s="4">
        <v>395948</v>
      </c>
      <c r="L93" s="4">
        <f t="shared" si="2"/>
        <v>4751376</v>
      </c>
      <c r="M93" s="4" t="str" cm="1">
        <f t="array" ref="M9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93" s="2">
        <v>2.5</v>
      </c>
      <c r="O93" s="2" t="str" cm="1">
        <f t="array" ref="O93">_xlfn.IFS(Table1[[#This Row],[Distance to School (km)]]&gt;=5,"Far",Table1[[#This Row],[Distance to School (km)]]&lt;5,"Near")</f>
        <v>Near</v>
      </c>
      <c r="P93" s="5">
        <f t="shared" si="3"/>
        <v>0.40449999999999997</v>
      </c>
    </row>
    <row r="94" spans="1:16" ht="15" x14ac:dyDescent="0.25">
      <c r="A94" s="2" t="s">
        <v>99</v>
      </c>
      <c r="B94" s="2" t="s">
        <v>642</v>
      </c>
      <c r="C94" s="2" t="s">
        <v>721</v>
      </c>
      <c r="D94" s="2" t="s">
        <v>741</v>
      </c>
      <c r="E94" s="2">
        <v>18</v>
      </c>
      <c r="F94" s="2" t="str" cm="1">
        <f t="array" ref="F94">_xlfn.IFS(Table1[[#This Row],[Age]]&lt;=16,"15-16",Table1[[#This Row],[Age]]&lt;19,"17-18")</f>
        <v>17-18</v>
      </c>
      <c r="G94" s="2" t="s">
        <v>758</v>
      </c>
      <c r="H94" s="3">
        <v>0.66500000000000004</v>
      </c>
      <c r="I94" s="3">
        <v>0.753</v>
      </c>
      <c r="J94" s="3" t="str" cm="1">
        <f t="array" ref="J94">_xlfn.IFS(Table1[[#This Row],[Overall Attendance]]&gt;=0.6,"Good",Table1[[#This Row],[Overall Attendance]]&lt;0.6,"Bad")</f>
        <v>Good</v>
      </c>
      <c r="K94" s="4">
        <v>138685</v>
      </c>
      <c r="L94" s="4">
        <f t="shared" si="2"/>
        <v>1664220</v>
      </c>
      <c r="M94" s="4" t="str" cm="1">
        <f t="array" ref="M9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94" s="2">
        <v>9.6999999999999993</v>
      </c>
      <c r="O94" s="2" t="str" cm="1">
        <f t="array" ref="O94">_xlfn.IFS(Table1[[#This Row],[Distance to School (km)]]&gt;=5,"Far",Table1[[#This Row],[Distance to School (km)]]&lt;5,"Near")</f>
        <v>Far</v>
      </c>
      <c r="P94" s="5">
        <f t="shared" si="3"/>
        <v>0.29099999999999993</v>
      </c>
    </row>
    <row r="95" spans="1:16" ht="15" hidden="1" x14ac:dyDescent="0.25">
      <c r="A95" s="2" t="s">
        <v>100</v>
      </c>
      <c r="B95" s="2" t="s">
        <v>645</v>
      </c>
      <c r="C95" s="2" t="s">
        <v>695</v>
      </c>
      <c r="D95" s="2" t="s">
        <v>668</v>
      </c>
      <c r="E95" s="2">
        <v>15</v>
      </c>
      <c r="F95" s="2" t="str" cm="1">
        <f t="array" ref="F95">_xlfn.IFS(Table1[[#This Row],[Age]]&lt;=16,"15-16",Table1[[#This Row],[Age]]&lt;19,"17-18")</f>
        <v>15-16</v>
      </c>
      <c r="G95" s="2" t="s">
        <v>757</v>
      </c>
      <c r="H95" s="3">
        <v>0.56600000000000006</v>
      </c>
      <c r="I95" s="3">
        <v>0.54400000000000004</v>
      </c>
      <c r="J95" s="3" t="str" cm="1">
        <f t="array" ref="J95">_xlfn.IFS(Table1[[#This Row],[Overall Attendance]]&gt;=0.6,"Good",Table1[[#This Row],[Overall Attendance]]&lt;0.6,"Bad")</f>
        <v>Bad</v>
      </c>
      <c r="K95" s="4">
        <v>223673</v>
      </c>
      <c r="L95" s="4">
        <f t="shared" si="2"/>
        <v>2684076</v>
      </c>
      <c r="M95" s="4" t="str" cm="1">
        <f t="array" ref="M9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95" s="2">
        <v>0.7</v>
      </c>
      <c r="O95" s="2" t="str" cm="1">
        <f t="array" ref="O95">_xlfn.IFS(Table1[[#This Row],[Distance to School (km)]]&gt;=5,"Far",Table1[[#This Row],[Distance to School (km)]]&lt;5,"Near")</f>
        <v>Near</v>
      </c>
      <c r="P95" s="5">
        <f t="shared" si="3"/>
        <v>0.44499999999999995</v>
      </c>
    </row>
    <row r="96" spans="1:16" ht="15" x14ac:dyDescent="0.25">
      <c r="A96" s="2" t="s">
        <v>101</v>
      </c>
      <c r="B96" s="2" t="s">
        <v>678</v>
      </c>
      <c r="C96" s="2" t="s">
        <v>726</v>
      </c>
      <c r="D96" s="2" t="s">
        <v>738</v>
      </c>
      <c r="E96" s="2">
        <v>17</v>
      </c>
      <c r="F96" s="2" t="str" cm="1">
        <f t="array" ref="F96">_xlfn.IFS(Table1[[#This Row],[Age]]&lt;=16,"15-16",Table1[[#This Row],[Age]]&lt;19,"17-18")</f>
        <v>17-18</v>
      </c>
      <c r="G96" s="2" t="s">
        <v>758</v>
      </c>
      <c r="H96" s="3">
        <v>0.54500000000000004</v>
      </c>
      <c r="I96" s="3">
        <v>0.70299999999999996</v>
      </c>
      <c r="J96" s="3" t="str" cm="1">
        <f t="array" ref="J96">_xlfn.IFS(Table1[[#This Row],[Overall Attendance]]&gt;=0.6,"Good",Table1[[#This Row],[Overall Attendance]]&lt;0.6,"Bad")</f>
        <v>Good</v>
      </c>
      <c r="K96" s="4">
        <v>91848</v>
      </c>
      <c r="L96" s="4">
        <f t="shared" si="2"/>
        <v>1102176</v>
      </c>
      <c r="M96" s="4" t="str" cm="1">
        <f t="array" ref="M9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96" s="2">
        <v>5.9</v>
      </c>
      <c r="O96" s="2" t="str" cm="1">
        <f t="array" ref="O96">_xlfn.IFS(Table1[[#This Row],[Distance to School (km)]]&gt;=5,"Far",Table1[[#This Row],[Distance to School (km)]]&lt;5,"Near")</f>
        <v>Far</v>
      </c>
      <c r="P96" s="5">
        <f t="shared" si="3"/>
        <v>0.376</v>
      </c>
    </row>
    <row r="97" spans="1:16" ht="15" hidden="1" x14ac:dyDescent="0.25">
      <c r="A97" s="2" t="s">
        <v>102</v>
      </c>
      <c r="B97" s="2" t="s">
        <v>679</v>
      </c>
      <c r="C97" s="2" t="s">
        <v>700</v>
      </c>
      <c r="D97" s="2" t="s">
        <v>641</v>
      </c>
      <c r="E97" s="2">
        <v>15</v>
      </c>
      <c r="F97" s="2" t="str" cm="1">
        <f t="array" ref="F97">_xlfn.IFS(Table1[[#This Row],[Age]]&lt;=16,"15-16",Table1[[#This Row],[Age]]&lt;19,"17-18")</f>
        <v>15-16</v>
      </c>
      <c r="G97" s="2" t="s">
        <v>757</v>
      </c>
      <c r="H97" s="3">
        <v>0.73799999999999999</v>
      </c>
      <c r="I97" s="3">
        <v>0.624</v>
      </c>
      <c r="J97" s="3" t="str" cm="1">
        <f t="array" ref="J97">_xlfn.IFS(Table1[[#This Row],[Overall Attendance]]&gt;=0.6,"Good",Table1[[#This Row],[Overall Attendance]]&lt;0.6,"Bad")</f>
        <v>Good</v>
      </c>
      <c r="K97" s="4">
        <v>92549</v>
      </c>
      <c r="L97" s="4">
        <f t="shared" si="2"/>
        <v>1110588</v>
      </c>
      <c r="M97" s="4" t="str" cm="1">
        <f t="array" ref="M9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97" s="2">
        <v>1</v>
      </c>
      <c r="O97" s="2" t="str" cm="1">
        <f t="array" ref="O97">_xlfn.IFS(Table1[[#This Row],[Distance to School (km)]]&gt;=5,"Far",Table1[[#This Row],[Distance to School (km)]]&lt;5,"Near")</f>
        <v>Near</v>
      </c>
      <c r="P97" s="5">
        <f t="shared" si="3"/>
        <v>0.31899999999999995</v>
      </c>
    </row>
    <row r="98" spans="1:16" ht="15" hidden="1" x14ac:dyDescent="0.25">
      <c r="A98" s="2" t="s">
        <v>103</v>
      </c>
      <c r="B98" s="2" t="s">
        <v>661</v>
      </c>
      <c r="C98" s="2" t="s">
        <v>719</v>
      </c>
      <c r="D98" s="2" t="s">
        <v>743</v>
      </c>
      <c r="E98" s="2">
        <v>16</v>
      </c>
      <c r="F98" s="2" t="str" cm="1">
        <f t="array" ref="F98">_xlfn.IFS(Table1[[#This Row],[Age]]&lt;=16,"15-16",Table1[[#This Row],[Age]]&lt;19,"17-18")</f>
        <v>15-16</v>
      </c>
      <c r="G98" s="2" t="s">
        <v>758</v>
      </c>
      <c r="H98" s="3">
        <v>0.63400000000000001</v>
      </c>
      <c r="I98" s="3">
        <v>0.94400000000000006</v>
      </c>
      <c r="J98" s="3" t="str" cm="1">
        <f t="array" ref="J98">_xlfn.IFS(Table1[[#This Row],[Overall Attendance]]&gt;=0.6,"Good",Table1[[#This Row],[Overall Attendance]]&lt;0.6,"Bad")</f>
        <v>Good</v>
      </c>
      <c r="K98" s="4">
        <v>375764</v>
      </c>
      <c r="L98" s="4">
        <f t="shared" si="2"/>
        <v>4509168</v>
      </c>
      <c r="M98" s="4" t="str" cm="1">
        <f t="array" ref="M9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98" s="2">
        <v>7.3</v>
      </c>
      <c r="O98" s="2" t="str" cm="1">
        <f t="array" ref="O98">_xlfn.IFS(Table1[[#This Row],[Distance to School (km)]]&gt;=5,"Far",Table1[[#This Row],[Distance to School (km)]]&lt;5,"Near")</f>
        <v>Far</v>
      </c>
      <c r="P98" s="5">
        <f t="shared" si="3"/>
        <v>0.21099999999999997</v>
      </c>
    </row>
    <row r="99" spans="1:16" ht="15" hidden="1" x14ac:dyDescent="0.25">
      <c r="A99" s="2" t="s">
        <v>104</v>
      </c>
      <c r="B99" s="2" t="s">
        <v>680</v>
      </c>
      <c r="C99" s="2" t="s">
        <v>712</v>
      </c>
      <c r="D99" s="2" t="s">
        <v>753</v>
      </c>
      <c r="E99" s="2">
        <v>16</v>
      </c>
      <c r="F99" s="2" t="str" cm="1">
        <f t="array" ref="F99">_xlfn.IFS(Table1[[#This Row],[Age]]&lt;=16,"15-16",Table1[[#This Row],[Age]]&lt;19,"17-18")</f>
        <v>15-16</v>
      </c>
      <c r="G99" s="2" t="s">
        <v>758</v>
      </c>
      <c r="H99" s="3">
        <v>0.40799999999999997</v>
      </c>
      <c r="I99" s="3">
        <v>0.66299999999999992</v>
      </c>
      <c r="J99" s="3" t="str" cm="1">
        <f t="array" ref="J99">_xlfn.IFS(Table1[[#This Row],[Overall Attendance]]&gt;=0.6,"Good",Table1[[#This Row],[Overall Attendance]]&lt;0.6,"Bad")</f>
        <v>Good</v>
      </c>
      <c r="K99" s="4">
        <v>52145</v>
      </c>
      <c r="L99" s="4">
        <f t="shared" si="2"/>
        <v>625740</v>
      </c>
      <c r="M99" s="4" t="str" cm="1">
        <f t="array" ref="M9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99" s="2">
        <v>5.6</v>
      </c>
      <c r="O99" s="2" t="str" cm="1">
        <f t="array" ref="O99">_xlfn.IFS(Table1[[#This Row],[Distance to School (km)]]&gt;=5,"Far",Table1[[#This Row],[Distance to School (km)]]&lt;5,"Near")</f>
        <v>Far</v>
      </c>
      <c r="P99" s="5">
        <f t="shared" si="3"/>
        <v>0.46450000000000002</v>
      </c>
    </row>
    <row r="100" spans="1:16" ht="15" x14ac:dyDescent="0.25">
      <c r="A100" s="2" t="s">
        <v>105</v>
      </c>
      <c r="B100" s="2" t="s">
        <v>678</v>
      </c>
      <c r="C100" s="2" t="s">
        <v>720</v>
      </c>
      <c r="D100" s="2" t="s">
        <v>749</v>
      </c>
      <c r="E100" s="2">
        <v>18</v>
      </c>
      <c r="F100" s="2" t="str" cm="1">
        <f t="array" ref="F100">_xlfn.IFS(Table1[[#This Row],[Age]]&lt;=16,"15-16",Table1[[#This Row],[Age]]&lt;19,"17-18")</f>
        <v>17-18</v>
      </c>
      <c r="G100" s="2" t="s">
        <v>758</v>
      </c>
      <c r="H100" s="3">
        <v>0.35</v>
      </c>
      <c r="I100" s="3">
        <v>0.74400000000000011</v>
      </c>
      <c r="J100" s="3" t="str" cm="1">
        <f t="array" ref="J100">_xlfn.IFS(Table1[[#This Row],[Overall Attendance]]&gt;=0.6,"Good",Table1[[#This Row],[Overall Attendance]]&lt;0.6,"Bad")</f>
        <v>Good</v>
      </c>
      <c r="K100" s="4">
        <v>53969</v>
      </c>
      <c r="L100" s="4">
        <f t="shared" si="2"/>
        <v>647628</v>
      </c>
      <c r="M100" s="4" t="str" cm="1">
        <f t="array" ref="M10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00" s="2">
        <v>11.6</v>
      </c>
      <c r="O100" s="2" t="str" cm="1">
        <f t="array" ref="O100">_xlfn.IFS(Table1[[#This Row],[Distance to School (km)]]&gt;=5,"Far",Table1[[#This Row],[Distance to School (km)]]&lt;5,"Near")</f>
        <v>Far</v>
      </c>
      <c r="P100" s="5">
        <f t="shared" si="3"/>
        <v>0.45299999999999996</v>
      </c>
    </row>
    <row r="101" spans="1:16" ht="15" hidden="1" x14ac:dyDescent="0.25">
      <c r="A101" s="2" t="s">
        <v>106</v>
      </c>
      <c r="B101" s="2" t="s">
        <v>659</v>
      </c>
      <c r="C101" s="2" t="s">
        <v>672</v>
      </c>
      <c r="D101" s="2" t="s">
        <v>641</v>
      </c>
      <c r="E101" s="2">
        <v>16</v>
      </c>
      <c r="F101" s="2" t="str" cm="1">
        <f t="array" ref="F101">_xlfn.IFS(Table1[[#This Row],[Age]]&lt;=16,"15-16",Table1[[#This Row],[Age]]&lt;19,"17-18")</f>
        <v>15-16</v>
      </c>
      <c r="G101" s="2" t="s">
        <v>757</v>
      </c>
      <c r="H101" s="3">
        <v>0.41600000000000004</v>
      </c>
      <c r="I101" s="3">
        <v>0.3</v>
      </c>
      <c r="J101" s="3" t="str" cm="1">
        <f t="array" ref="J101">_xlfn.IFS(Table1[[#This Row],[Overall Attendance]]&gt;=0.6,"Good",Table1[[#This Row],[Overall Attendance]]&lt;0.6,"Bad")</f>
        <v>Bad</v>
      </c>
      <c r="K101" s="4">
        <v>71857</v>
      </c>
      <c r="L101" s="4">
        <f t="shared" si="2"/>
        <v>862284</v>
      </c>
      <c r="M101" s="4" t="str" cm="1">
        <f t="array" ref="M10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01" s="2">
        <v>1.3</v>
      </c>
      <c r="O101" s="2" t="str" cm="1">
        <f t="array" ref="O101">_xlfn.IFS(Table1[[#This Row],[Distance to School (km)]]&gt;=5,"Far",Table1[[#This Row],[Distance to School (km)]]&lt;5,"Near")</f>
        <v>Near</v>
      </c>
      <c r="P101" s="5">
        <f t="shared" si="3"/>
        <v>0.64200000000000002</v>
      </c>
    </row>
    <row r="102" spans="1:16" ht="15" hidden="1" x14ac:dyDescent="0.25">
      <c r="A102" s="2" t="s">
        <v>107</v>
      </c>
      <c r="B102" s="2" t="s">
        <v>645</v>
      </c>
      <c r="C102" s="2" t="s">
        <v>708</v>
      </c>
      <c r="D102" s="2" t="s">
        <v>754</v>
      </c>
      <c r="E102" s="2">
        <v>16</v>
      </c>
      <c r="F102" s="2" t="str" cm="1">
        <f t="array" ref="F102">_xlfn.IFS(Table1[[#This Row],[Age]]&lt;=16,"15-16",Table1[[#This Row],[Age]]&lt;19,"17-18")</f>
        <v>15-16</v>
      </c>
      <c r="G102" s="2" t="s">
        <v>757</v>
      </c>
      <c r="H102" s="3">
        <v>0.65200000000000002</v>
      </c>
      <c r="I102" s="3">
        <v>0.64599999999999991</v>
      </c>
      <c r="J102" s="3" t="str" cm="1">
        <f t="array" ref="J102">_xlfn.IFS(Table1[[#This Row],[Overall Attendance]]&gt;=0.6,"Good",Table1[[#This Row],[Overall Attendance]]&lt;0.6,"Bad")</f>
        <v>Good</v>
      </c>
      <c r="K102" s="4">
        <v>50186</v>
      </c>
      <c r="L102" s="4">
        <f t="shared" si="2"/>
        <v>602232</v>
      </c>
      <c r="M102" s="4" t="str" cm="1">
        <f t="array" ref="M10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02" s="2">
        <v>6.7</v>
      </c>
      <c r="O102" s="2" t="str" cm="1">
        <f t="array" ref="O102">_xlfn.IFS(Table1[[#This Row],[Distance to School (km)]]&gt;=5,"Far",Table1[[#This Row],[Distance to School (km)]]&lt;5,"Near")</f>
        <v>Far</v>
      </c>
      <c r="P102" s="5">
        <f t="shared" si="3"/>
        <v>0.35099999999999998</v>
      </c>
    </row>
    <row r="103" spans="1:16" ht="15" hidden="1" x14ac:dyDescent="0.25">
      <c r="A103" s="2" t="s">
        <v>108</v>
      </c>
      <c r="B103" s="2" t="s">
        <v>671</v>
      </c>
      <c r="C103" s="2" t="s">
        <v>672</v>
      </c>
      <c r="D103" s="2" t="s">
        <v>751</v>
      </c>
      <c r="E103" s="2">
        <v>16</v>
      </c>
      <c r="F103" s="2" t="str" cm="1">
        <f t="array" ref="F103">_xlfn.IFS(Table1[[#This Row],[Age]]&lt;=16,"15-16",Table1[[#This Row],[Age]]&lt;19,"17-18")</f>
        <v>15-16</v>
      </c>
      <c r="G103" s="2" t="s">
        <v>757</v>
      </c>
      <c r="H103" s="3">
        <v>0.83099999999999996</v>
      </c>
      <c r="I103" s="3">
        <v>0.83599999999999997</v>
      </c>
      <c r="J103" s="3" t="str" cm="1">
        <f t="array" ref="J103">_xlfn.IFS(Table1[[#This Row],[Overall Attendance]]&gt;=0.6,"Good",Table1[[#This Row],[Overall Attendance]]&lt;0.6,"Bad")</f>
        <v>Good</v>
      </c>
      <c r="K103" s="4">
        <v>88592</v>
      </c>
      <c r="L103" s="4">
        <f t="shared" si="2"/>
        <v>1063104</v>
      </c>
      <c r="M103" s="4" t="str" cm="1">
        <f t="array" ref="M10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03" s="2">
        <v>3.6</v>
      </c>
      <c r="O103" s="2" t="str" cm="1">
        <f t="array" ref="O103">_xlfn.IFS(Table1[[#This Row],[Distance to School (km)]]&gt;=5,"Far",Table1[[#This Row],[Distance to School (km)]]&lt;5,"Near")</f>
        <v>Near</v>
      </c>
      <c r="P103" s="5">
        <f t="shared" si="3"/>
        <v>0.16650000000000009</v>
      </c>
    </row>
    <row r="104" spans="1:16" ht="15" hidden="1" x14ac:dyDescent="0.25">
      <c r="A104" s="2" t="s">
        <v>109</v>
      </c>
      <c r="B104" s="2" t="s">
        <v>661</v>
      </c>
      <c r="C104" s="2" t="s">
        <v>721</v>
      </c>
      <c r="D104" s="2" t="s">
        <v>738</v>
      </c>
      <c r="E104" s="2">
        <v>15</v>
      </c>
      <c r="F104" s="2" t="str" cm="1">
        <f t="array" ref="F104">_xlfn.IFS(Table1[[#This Row],[Age]]&lt;=16,"15-16",Table1[[#This Row],[Age]]&lt;19,"17-18")</f>
        <v>15-16</v>
      </c>
      <c r="G104" s="2" t="s">
        <v>758</v>
      </c>
      <c r="H104" s="3">
        <v>0.74099999999999999</v>
      </c>
      <c r="I104" s="3">
        <v>0.86199999999999999</v>
      </c>
      <c r="J104" s="3" t="str" cm="1">
        <f t="array" ref="J104">_xlfn.IFS(Table1[[#This Row],[Overall Attendance]]&gt;=0.6,"Good",Table1[[#This Row],[Overall Attendance]]&lt;0.6,"Bad")</f>
        <v>Good</v>
      </c>
      <c r="K104" s="4">
        <v>228588</v>
      </c>
      <c r="L104" s="4">
        <f t="shared" si="2"/>
        <v>2743056</v>
      </c>
      <c r="M104" s="4" t="str" cm="1">
        <f t="array" ref="M10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04" s="2">
        <v>6.3</v>
      </c>
      <c r="O104" s="2" t="str" cm="1">
        <f t="array" ref="O104">_xlfn.IFS(Table1[[#This Row],[Distance to School (km)]]&gt;=5,"Far",Table1[[#This Row],[Distance to School (km)]]&lt;5,"Near")</f>
        <v>Far</v>
      </c>
      <c r="P104" s="5">
        <f t="shared" si="3"/>
        <v>0.19850000000000001</v>
      </c>
    </row>
    <row r="105" spans="1:16" ht="15" x14ac:dyDescent="0.25">
      <c r="A105" s="2" t="s">
        <v>110</v>
      </c>
      <c r="B105" s="2" t="s">
        <v>677</v>
      </c>
      <c r="C105" s="2" t="s">
        <v>697</v>
      </c>
      <c r="D105" s="2" t="s">
        <v>746</v>
      </c>
      <c r="E105" s="2">
        <v>18</v>
      </c>
      <c r="F105" s="2" t="str" cm="1">
        <f t="array" ref="F105">_xlfn.IFS(Table1[[#This Row],[Age]]&lt;=16,"15-16",Table1[[#This Row],[Age]]&lt;19,"17-18")</f>
        <v>17-18</v>
      </c>
      <c r="G105" s="2" t="s">
        <v>758</v>
      </c>
      <c r="H105" s="3">
        <v>0.747</v>
      </c>
      <c r="I105" s="3">
        <v>0.86299999999999999</v>
      </c>
      <c r="J105" s="3" t="str" cm="1">
        <f t="array" ref="J105">_xlfn.IFS(Table1[[#This Row],[Overall Attendance]]&gt;=0.6,"Good",Table1[[#This Row],[Overall Attendance]]&lt;0.6,"Bad")</f>
        <v>Good</v>
      </c>
      <c r="K105" s="4">
        <v>228302</v>
      </c>
      <c r="L105" s="4">
        <f t="shared" si="2"/>
        <v>2739624</v>
      </c>
      <c r="M105" s="4" t="str" cm="1">
        <f t="array" ref="M10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05" s="2">
        <v>8.6999999999999993</v>
      </c>
      <c r="O105" s="2" t="str" cm="1">
        <f t="array" ref="O105">_xlfn.IFS(Table1[[#This Row],[Distance to School (km)]]&gt;=5,"Far",Table1[[#This Row],[Distance to School (km)]]&lt;5,"Near")</f>
        <v>Far</v>
      </c>
      <c r="P105" s="5">
        <f t="shared" si="3"/>
        <v>0.19500000000000006</v>
      </c>
    </row>
    <row r="106" spans="1:16" ht="15" x14ac:dyDescent="0.25">
      <c r="A106" s="2" t="s">
        <v>111</v>
      </c>
      <c r="B106" s="2" t="s">
        <v>670</v>
      </c>
      <c r="C106" s="2" t="s">
        <v>727</v>
      </c>
      <c r="D106" s="2" t="s">
        <v>754</v>
      </c>
      <c r="E106" s="2">
        <v>17</v>
      </c>
      <c r="F106" s="2" t="str" cm="1">
        <f t="array" ref="F106">_xlfn.IFS(Table1[[#This Row],[Age]]&lt;=16,"15-16",Table1[[#This Row],[Age]]&lt;19,"17-18")</f>
        <v>17-18</v>
      </c>
      <c r="G106" s="2" t="s">
        <v>757</v>
      </c>
      <c r="H106" s="3">
        <v>0.58599999999999997</v>
      </c>
      <c r="I106" s="3">
        <v>0.79700000000000004</v>
      </c>
      <c r="J106" s="3" t="str" cm="1">
        <f t="array" ref="J106">_xlfn.IFS(Table1[[#This Row],[Overall Attendance]]&gt;=0.6,"Good",Table1[[#This Row],[Overall Attendance]]&lt;0.6,"Bad")</f>
        <v>Good</v>
      </c>
      <c r="K106" s="4">
        <v>182979</v>
      </c>
      <c r="L106" s="4">
        <f t="shared" si="2"/>
        <v>2195748</v>
      </c>
      <c r="M106" s="4" t="str" cm="1">
        <f t="array" ref="M10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06" s="2">
        <v>4.9000000000000004</v>
      </c>
      <c r="O106" s="2" t="str" cm="1">
        <f t="array" ref="O106">_xlfn.IFS(Table1[[#This Row],[Distance to School (km)]]&gt;=5,"Far",Table1[[#This Row],[Distance to School (km)]]&lt;5,"Near")</f>
        <v>Near</v>
      </c>
      <c r="P106" s="5">
        <f t="shared" si="3"/>
        <v>0.3085</v>
      </c>
    </row>
    <row r="107" spans="1:16" ht="15" hidden="1" x14ac:dyDescent="0.25">
      <c r="A107" s="2" t="s">
        <v>112</v>
      </c>
      <c r="B107" s="2" t="s">
        <v>658</v>
      </c>
      <c r="C107" s="2" t="s">
        <v>721</v>
      </c>
      <c r="D107" s="2" t="s">
        <v>750</v>
      </c>
      <c r="E107" s="2">
        <v>16</v>
      </c>
      <c r="F107" s="2" t="str" cm="1">
        <f t="array" ref="F107">_xlfn.IFS(Table1[[#This Row],[Age]]&lt;=16,"15-16",Table1[[#This Row],[Age]]&lt;19,"17-18")</f>
        <v>15-16</v>
      </c>
      <c r="G107" s="2" t="s">
        <v>758</v>
      </c>
      <c r="H107" s="3">
        <v>0.77200000000000002</v>
      </c>
      <c r="I107" s="3">
        <v>0.91099999999999992</v>
      </c>
      <c r="J107" s="3" t="str" cm="1">
        <f t="array" ref="J107">_xlfn.IFS(Table1[[#This Row],[Overall Attendance]]&gt;=0.6,"Good",Table1[[#This Row],[Overall Attendance]]&lt;0.6,"Bad")</f>
        <v>Good</v>
      </c>
      <c r="K107" s="4">
        <v>92908</v>
      </c>
      <c r="L107" s="4">
        <f t="shared" si="2"/>
        <v>1114896</v>
      </c>
      <c r="M107" s="4" t="str" cm="1">
        <f t="array" ref="M10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07" s="2">
        <v>5.4</v>
      </c>
      <c r="O107" s="2" t="str" cm="1">
        <f t="array" ref="O107">_xlfn.IFS(Table1[[#This Row],[Distance to School (km)]]&gt;=5,"Far",Table1[[#This Row],[Distance to School (km)]]&lt;5,"Near")</f>
        <v>Far</v>
      </c>
      <c r="P107" s="5">
        <f t="shared" si="3"/>
        <v>0.15850000000000009</v>
      </c>
    </row>
    <row r="108" spans="1:16" ht="15" x14ac:dyDescent="0.25">
      <c r="A108" s="2" t="s">
        <v>113</v>
      </c>
      <c r="B108" s="2" t="s">
        <v>664</v>
      </c>
      <c r="C108" s="2" t="s">
        <v>722</v>
      </c>
      <c r="D108" s="2" t="s">
        <v>755</v>
      </c>
      <c r="E108" s="2">
        <v>18</v>
      </c>
      <c r="F108" s="2" t="str" cm="1">
        <f t="array" ref="F108">_xlfn.IFS(Table1[[#This Row],[Age]]&lt;=16,"15-16",Table1[[#This Row],[Age]]&lt;19,"17-18")</f>
        <v>17-18</v>
      </c>
      <c r="G108" s="2" t="s">
        <v>758</v>
      </c>
      <c r="H108" s="3">
        <v>0.57399999999999995</v>
      </c>
      <c r="I108" s="3">
        <v>0.84299999999999997</v>
      </c>
      <c r="J108" s="3" t="str" cm="1">
        <f t="array" ref="J108">_xlfn.IFS(Table1[[#This Row],[Overall Attendance]]&gt;=0.6,"Good",Table1[[#This Row],[Overall Attendance]]&lt;0.6,"Bad")</f>
        <v>Good</v>
      </c>
      <c r="K108" s="4">
        <v>187178</v>
      </c>
      <c r="L108" s="4">
        <f t="shared" si="2"/>
        <v>2246136</v>
      </c>
      <c r="M108" s="4" t="str" cm="1">
        <f t="array" ref="M10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08" s="2">
        <v>11.5</v>
      </c>
      <c r="O108" s="2" t="str" cm="1">
        <f t="array" ref="O108">_xlfn.IFS(Table1[[#This Row],[Distance to School (km)]]&gt;=5,"Far",Table1[[#This Row],[Distance to School (km)]]&lt;5,"Near")</f>
        <v>Far</v>
      </c>
      <c r="P108" s="5">
        <f t="shared" si="3"/>
        <v>0.29150000000000009</v>
      </c>
    </row>
    <row r="109" spans="1:16" ht="15" x14ac:dyDescent="0.25">
      <c r="A109" s="2" t="s">
        <v>114</v>
      </c>
      <c r="B109" s="2" t="s">
        <v>670</v>
      </c>
      <c r="C109" s="2" t="s">
        <v>703</v>
      </c>
      <c r="D109" s="2" t="s">
        <v>742</v>
      </c>
      <c r="E109" s="2">
        <v>18</v>
      </c>
      <c r="F109" s="2" t="str" cm="1">
        <f t="array" ref="F109">_xlfn.IFS(Table1[[#This Row],[Age]]&lt;=16,"15-16",Table1[[#This Row],[Age]]&lt;19,"17-18")</f>
        <v>17-18</v>
      </c>
      <c r="G109" s="2" t="s">
        <v>757</v>
      </c>
      <c r="H109" s="3">
        <v>0.44</v>
      </c>
      <c r="I109" s="3">
        <v>0.88900000000000001</v>
      </c>
      <c r="J109" s="3" t="str" cm="1">
        <f t="array" ref="J109">_xlfn.IFS(Table1[[#This Row],[Overall Attendance]]&gt;=0.6,"Good",Table1[[#This Row],[Overall Attendance]]&lt;0.6,"Bad")</f>
        <v>Good</v>
      </c>
      <c r="K109" s="4">
        <v>172925</v>
      </c>
      <c r="L109" s="4">
        <f t="shared" si="2"/>
        <v>2075100</v>
      </c>
      <c r="M109" s="4" t="str" cm="1">
        <f t="array" ref="M10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09" s="2">
        <v>8.1999999999999993</v>
      </c>
      <c r="O109" s="2" t="str" cm="1">
        <f t="array" ref="O109">_xlfn.IFS(Table1[[#This Row],[Distance to School (km)]]&gt;=5,"Far",Table1[[#This Row],[Distance to School (km)]]&lt;5,"Near")</f>
        <v>Far</v>
      </c>
      <c r="P109" s="5">
        <f t="shared" si="3"/>
        <v>0.33550000000000002</v>
      </c>
    </row>
    <row r="110" spans="1:16" ht="15" hidden="1" x14ac:dyDescent="0.25">
      <c r="A110" s="2" t="s">
        <v>115</v>
      </c>
      <c r="B110" s="2" t="s">
        <v>663</v>
      </c>
      <c r="C110" s="2" t="s">
        <v>716</v>
      </c>
      <c r="D110" s="2" t="s">
        <v>739</v>
      </c>
      <c r="E110" s="2">
        <v>16</v>
      </c>
      <c r="F110" s="2" t="str" cm="1">
        <f t="array" ref="F110">_xlfn.IFS(Table1[[#This Row],[Age]]&lt;=16,"15-16",Table1[[#This Row],[Age]]&lt;19,"17-18")</f>
        <v>15-16</v>
      </c>
      <c r="G110" s="2" t="s">
        <v>758</v>
      </c>
      <c r="H110" s="3">
        <v>0.38400000000000001</v>
      </c>
      <c r="I110" s="3">
        <v>0.92400000000000004</v>
      </c>
      <c r="J110" s="3" t="str" cm="1">
        <f t="array" ref="J110">_xlfn.IFS(Table1[[#This Row],[Overall Attendance]]&gt;=0.6,"Good",Table1[[#This Row],[Overall Attendance]]&lt;0.6,"Bad")</f>
        <v>Good</v>
      </c>
      <c r="K110" s="4">
        <v>178697</v>
      </c>
      <c r="L110" s="4">
        <f t="shared" si="2"/>
        <v>2144364</v>
      </c>
      <c r="M110" s="4" t="str" cm="1">
        <f t="array" ref="M11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10" s="2">
        <v>1.7</v>
      </c>
      <c r="O110" s="2" t="str" cm="1">
        <f t="array" ref="O110">_xlfn.IFS(Table1[[#This Row],[Distance to School (km)]]&gt;=5,"Far",Table1[[#This Row],[Distance to School (km)]]&lt;5,"Near")</f>
        <v>Near</v>
      </c>
      <c r="P110" s="5">
        <f t="shared" si="3"/>
        <v>0.34599999999999997</v>
      </c>
    </row>
    <row r="111" spans="1:16" ht="15" x14ac:dyDescent="0.25">
      <c r="A111" s="2" t="s">
        <v>116</v>
      </c>
      <c r="B111" s="2" t="s">
        <v>681</v>
      </c>
      <c r="C111" s="2" t="s">
        <v>672</v>
      </c>
      <c r="D111" s="2" t="s">
        <v>736</v>
      </c>
      <c r="E111" s="2">
        <v>18</v>
      </c>
      <c r="F111" s="2" t="str" cm="1">
        <f t="array" ref="F111">_xlfn.IFS(Table1[[#This Row],[Age]]&lt;=16,"15-16",Table1[[#This Row],[Age]]&lt;19,"17-18")</f>
        <v>17-18</v>
      </c>
      <c r="G111" s="2" t="s">
        <v>757</v>
      </c>
      <c r="H111" s="3">
        <v>0.68400000000000005</v>
      </c>
      <c r="I111" s="3">
        <v>0.74400000000000011</v>
      </c>
      <c r="J111" s="3" t="str" cm="1">
        <f t="array" ref="J111">_xlfn.IFS(Table1[[#This Row],[Overall Attendance]]&gt;=0.6,"Good",Table1[[#This Row],[Overall Attendance]]&lt;0.6,"Bad")</f>
        <v>Good</v>
      </c>
      <c r="K111" s="4">
        <v>115059</v>
      </c>
      <c r="L111" s="4">
        <f t="shared" si="2"/>
        <v>1380708</v>
      </c>
      <c r="M111" s="4" t="str" cm="1">
        <f t="array" ref="M11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11" s="2">
        <v>7.1</v>
      </c>
      <c r="O111" s="2" t="str" cm="1">
        <f t="array" ref="O111">_xlfn.IFS(Table1[[#This Row],[Distance to School (km)]]&gt;=5,"Far",Table1[[#This Row],[Distance to School (km)]]&lt;5,"Near")</f>
        <v>Far</v>
      </c>
      <c r="P111" s="5">
        <f t="shared" si="3"/>
        <v>0.28599999999999992</v>
      </c>
    </row>
    <row r="112" spans="1:16" ht="15" hidden="1" x14ac:dyDescent="0.25">
      <c r="A112" s="2" t="s">
        <v>117</v>
      </c>
      <c r="B112" s="2" t="s">
        <v>663</v>
      </c>
      <c r="C112" s="2" t="s">
        <v>651</v>
      </c>
      <c r="D112" s="2" t="s">
        <v>646</v>
      </c>
      <c r="E112" s="2">
        <v>16</v>
      </c>
      <c r="F112" s="2" t="str" cm="1">
        <f t="array" ref="F112">_xlfn.IFS(Table1[[#This Row],[Age]]&lt;=16,"15-16",Table1[[#This Row],[Age]]&lt;19,"17-18")</f>
        <v>15-16</v>
      </c>
      <c r="G112" s="2" t="s">
        <v>757</v>
      </c>
      <c r="H112" s="3">
        <v>0.61199999999999999</v>
      </c>
      <c r="I112" s="3">
        <v>0.88300000000000001</v>
      </c>
      <c r="J112" s="3" t="str" cm="1">
        <f t="array" ref="J112">_xlfn.IFS(Table1[[#This Row],[Overall Attendance]]&gt;=0.6,"Good",Table1[[#This Row],[Overall Attendance]]&lt;0.6,"Bad")</f>
        <v>Good</v>
      </c>
      <c r="K112" s="4">
        <v>140500</v>
      </c>
      <c r="L112" s="4">
        <f t="shared" si="2"/>
        <v>1686000</v>
      </c>
      <c r="M112" s="4" t="str" cm="1">
        <f t="array" ref="M11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12" s="2">
        <v>0.6</v>
      </c>
      <c r="O112" s="2" t="str" cm="1">
        <f t="array" ref="O112">_xlfn.IFS(Table1[[#This Row],[Distance to School (km)]]&gt;=5,"Far",Table1[[#This Row],[Distance to School (km)]]&lt;5,"Near")</f>
        <v>Near</v>
      </c>
      <c r="P112" s="5">
        <f t="shared" si="3"/>
        <v>0.25249999999999995</v>
      </c>
    </row>
    <row r="113" spans="1:16" ht="15" hidden="1" x14ac:dyDescent="0.25">
      <c r="A113" s="2" t="s">
        <v>118</v>
      </c>
      <c r="B113" s="2" t="s">
        <v>662</v>
      </c>
      <c r="C113" s="2" t="s">
        <v>693</v>
      </c>
      <c r="D113" s="2" t="s">
        <v>738</v>
      </c>
      <c r="E113" s="2">
        <v>16</v>
      </c>
      <c r="F113" s="2" t="str" cm="1">
        <f t="array" ref="F113">_xlfn.IFS(Table1[[#This Row],[Age]]&lt;=16,"15-16",Table1[[#This Row],[Age]]&lt;19,"17-18")</f>
        <v>15-16</v>
      </c>
      <c r="G113" s="2" t="s">
        <v>758</v>
      </c>
      <c r="H113" s="3">
        <v>0.6</v>
      </c>
      <c r="I113" s="3">
        <v>0.80099999999999993</v>
      </c>
      <c r="J113" s="3" t="str" cm="1">
        <f t="array" ref="J113">_xlfn.IFS(Table1[[#This Row],[Overall Attendance]]&gt;=0.6,"Good",Table1[[#This Row],[Overall Attendance]]&lt;0.6,"Bad")</f>
        <v>Good</v>
      </c>
      <c r="K113" s="4">
        <v>298618</v>
      </c>
      <c r="L113" s="4">
        <f t="shared" si="2"/>
        <v>3583416</v>
      </c>
      <c r="M113" s="4" t="str" cm="1">
        <f t="array" ref="M11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13" s="2">
        <v>5.7</v>
      </c>
      <c r="O113" s="2" t="str" cm="1">
        <f t="array" ref="O113">_xlfn.IFS(Table1[[#This Row],[Distance to School (km)]]&gt;=5,"Far",Table1[[#This Row],[Distance to School (km)]]&lt;5,"Near")</f>
        <v>Far</v>
      </c>
      <c r="P113" s="5">
        <f t="shared" si="3"/>
        <v>0.2995000000000001</v>
      </c>
    </row>
    <row r="114" spans="1:16" ht="15" x14ac:dyDescent="0.25">
      <c r="A114" s="2" t="s">
        <v>119</v>
      </c>
      <c r="B114" s="2" t="s">
        <v>667</v>
      </c>
      <c r="C114" s="2" t="s">
        <v>705</v>
      </c>
      <c r="D114" s="2" t="s">
        <v>739</v>
      </c>
      <c r="E114" s="2">
        <v>17</v>
      </c>
      <c r="F114" s="2" t="str" cm="1">
        <f t="array" ref="F114">_xlfn.IFS(Table1[[#This Row],[Age]]&lt;=16,"15-16",Table1[[#This Row],[Age]]&lt;19,"17-18")</f>
        <v>17-18</v>
      </c>
      <c r="G114" s="2" t="s">
        <v>758</v>
      </c>
      <c r="H114" s="3">
        <v>0.77099999999999991</v>
      </c>
      <c r="I114" s="3">
        <v>0.77200000000000002</v>
      </c>
      <c r="J114" s="3" t="str" cm="1">
        <f t="array" ref="J114">_xlfn.IFS(Table1[[#This Row],[Overall Attendance]]&gt;=0.6,"Good",Table1[[#This Row],[Overall Attendance]]&lt;0.6,"Bad")</f>
        <v>Good</v>
      </c>
      <c r="K114" s="4">
        <v>48945</v>
      </c>
      <c r="L114" s="4">
        <f t="shared" si="2"/>
        <v>587340</v>
      </c>
      <c r="M114" s="4" t="str" cm="1">
        <f t="array" ref="M11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14" s="2">
        <v>8.3000000000000007</v>
      </c>
      <c r="O114" s="2" t="str" cm="1">
        <f t="array" ref="O114">_xlfn.IFS(Table1[[#This Row],[Distance to School (km)]]&gt;=5,"Far",Table1[[#This Row],[Distance to School (km)]]&lt;5,"Near")</f>
        <v>Far</v>
      </c>
      <c r="P114" s="5">
        <f t="shared" si="3"/>
        <v>0.22850000000000004</v>
      </c>
    </row>
    <row r="115" spans="1:16" ht="15" x14ac:dyDescent="0.25">
      <c r="A115" s="2" t="s">
        <v>120</v>
      </c>
      <c r="B115" s="2" t="s">
        <v>666</v>
      </c>
      <c r="C115" s="2" t="s">
        <v>723</v>
      </c>
      <c r="D115" s="2" t="s">
        <v>753</v>
      </c>
      <c r="E115" s="2">
        <v>17</v>
      </c>
      <c r="F115" s="2" t="str" cm="1">
        <f t="array" ref="F115">_xlfn.IFS(Table1[[#This Row],[Age]]&lt;=16,"15-16",Table1[[#This Row],[Age]]&lt;19,"17-18")</f>
        <v>17-18</v>
      </c>
      <c r="G115" s="2" t="s">
        <v>758</v>
      </c>
      <c r="H115" s="3">
        <v>0.52300000000000002</v>
      </c>
      <c r="I115" s="3">
        <v>0.75599999999999989</v>
      </c>
      <c r="J115" s="3" t="str" cm="1">
        <f t="array" ref="J115">_xlfn.IFS(Table1[[#This Row],[Overall Attendance]]&gt;=0.6,"Good",Table1[[#This Row],[Overall Attendance]]&lt;0.6,"Bad")</f>
        <v>Good</v>
      </c>
      <c r="K115" s="4">
        <v>167155</v>
      </c>
      <c r="L115" s="4">
        <f t="shared" si="2"/>
        <v>2005860</v>
      </c>
      <c r="M115" s="4" t="str" cm="1">
        <f t="array" ref="M11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15" s="2">
        <v>5.4</v>
      </c>
      <c r="O115" s="2" t="str" cm="1">
        <f t="array" ref="O115">_xlfn.IFS(Table1[[#This Row],[Distance to School (km)]]&gt;=5,"Far",Table1[[#This Row],[Distance to School (km)]]&lt;5,"Near")</f>
        <v>Far</v>
      </c>
      <c r="P115" s="5">
        <f t="shared" si="3"/>
        <v>0.36050000000000004</v>
      </c>
    </row>
    <row r="116" spans="1:16" ht="15" hidden="1" x14ac:dyDescent="0.25">
      <c r="A116" s="2" t="s">
        <v>121</v>
      </c>
      <c r="B116" s="2" t="s">
        <v>663</v>
      </c>
      <c r="C116" s="2" t="s">
        <v>721</v>
      </c>
      <c r="D116" s="2" t="s">
        <v>748</v>
      </c>
      <c r="E116" s="2">
        <v>16</v>
      </c>
      <c r="F116" s="2" t="str" cm="1">
        <f t="array" ref="F116">_xlfn.IFS(Table1[[#This Row],[Age]]&lt;=16,"15-16",Table1[[#This Row],[Age]]&lt;19,"17-18")</f>
        <v>15-16</v>
      </c>
      <c r="G116" s="2" t="s">
        <v>758</v>
      </c>
      <c r="H116" s="3">
        <v>0.73499999999999999</v>
      </c>
      <c r="I116" s="3">
        <v>0.84799999999999998</v>
      </c>
      <c r="J116" s="3" t="str" cm="1">
        <f t="array" ref="J116">_xlfn.IFS(Table1[[#This Row],[Overall Attendance]]&gt;=0.6,"Good",Table1[[#This Row],[Overall Attendance]]&lt;0.6,"Bad")</f>
        <v>Good</v>
      </c>
      <c r="K116" s="4">
        <v>101008</v>
      </c>
      <c r="L116" s="4">
        <f t="shared" si="2"/>
        <v>1212096</v>
      </c>
      <c r="M116" s="4" t="str" cm="1">
        <f t="array" ref="M11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16" s="2">
        <v>11.4</v>
      </c>
      <c r="O116" s="2" t="str" cm="1">
        <f t="array" ref="O116">_xlfn.IFS(Table1[[#This Row],[Distance to School (km)]]&gt;=5,"Far",Table1[[#This Row],[Distance to School (km)]]&lt;5,"Near")</f>
        <v>Far</v>
      </c>
      <c r="P116" s="5">
        <f t="shared" si="3"/>
        <v>0.20850000000000002</v>
      </c>
    </row>
    <row r="117" spans="1:16" ht="15" x14ac:dyDescent="0.25">
      <c r="A117" s="2" t="s">
        <v>122</v>
      </c>
      <c r="B117" s="2" t="s">
        <v>667</v>
      </c>
      <c r="C117" s="2" t="s">
        <v>705</v>
      </c>
      <c r="D117" s="2" t="s">
        <v>743</v>
      </c>
      <c r="E117" s="2">
        <v>17</v>
      </c>
      <c r="F117" s="2" t="str" cm="1">
        <f t="array" ref="F117">_xlfn.IFS(Table1[[#This Row],[Age]]&lt;=16,"15-16",Table1[[#This Row],[Age]]&lt;19,"17-18")</f>
        <v>17-18</v>
      </c>
      <c r="G117" s="2" t="s">
        <v>758</v>
      </c>
      <c r="H117" s="3">
        <v>0.81900000000000006</v>
      </c>
      <c r="I117" s="3">
        <v>0.82799999999999996</v>
      </c>
      <c r="J117" s="3" t="str" cm="1">
        <f t="array" ref="J117">_xlfn.IFS(Table1[[#This Row],[Overall Attendance]]&gt;=0.6,"Good",Table1[[#This Row],[Overall Attendance]]&lt;0.6,"Bad")</f>
        <v>Good</v>
      </c>
      <c r="K117" s="4">
        <v>58467</v>
      </c>
      <c r="L117" s="4">
        <f t="shared" si="2"/>
        <v>701604</v>
      </c>
      <c r="M117" s="4" t="str" cm="1">
        <f t="array" ref="M11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17" s="2">
        <v>6.3</v>
      </c>
      <c r="O117" s="2" t="str" cm="1">
        <f t="array" ref="O117">_xlfn.IFS(Table1[[#This Row],[Distance to School (km)]]&gt;=5,"Far",Table1[[#This Row],[Distance to School (km)]]&lt;5,"Near")</f>
        <v>Far</v>
      </c>
      <c r="P117" s="5">
        <f t="shared" si="3"/>
        <v>0.17649999999999999</v>
      </c>
    </row>
    <row r="118" spans="1:16" ht="15" x14ac:dyDescent="0.25">
      <c r="A118" s="2" t="s">
        <v>123</v>
      </c>
      <c r="B118" s="2" t="s">
        <v>644</v>
      </c>
      <c r="C118" s="2" t="s">
        <v>728</v>
      </c>
      <c r="D118" s="2" t="s">
        <v>750</v>
      </c>
      <c r="E118" s="2">
        <v>18</v>
      </c>
      <c r="F118" s="2" t="str" cm="1">
        <f t="array" ref="F118">_xlfn.IFS(Table1[[#This Row],[Age]]&lt;=16,"15-16",Table1[[#This Row],[Age]]&lt;19,"17-18")</f>
        <v>17-18</v>
      </c>
      <c r="G118" s="2" t="s">
        <v>757</v>
      </c>
      <c r="H118" s="3">
        <v>0.88900000000000001</v>
      </c>
      <c r="I118" s="3">
        <v>0.84599999999999997</v>
      </c>
      <c r="J118" s="3" t="str" cm="1">
        <f t="array" ref="J118">_xlfn.IFS(Table1[[#This Row],[Overall Attendance]]&gt;=0.6,"Good",Table1[[#This Row],[Overall Attendance]]&lt;0.6,"Bad")</f>
        <v>Good</v>
      </c>
      <c r="K118" s="4">
        <v>312535</v>
      </c>
      <c r="L118" s="4">
        <f t="shared" si="2"/>
        <v>3750420</v>
      </c>
      <c r="M118" s="4" t="str" cm="1">
        <f t="array" ref="M11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18" s="2">
        <v>8.6999999999999993</v>
      </c>
      <c r="O118" s="2" t="str" cm="1">
        <f t="array" ref="O118">_xlfn.IFS(Table1[[#This Row],[Distance to School (km)]]&gt;=5,"Far",Table1[[#This Row],[Distance to School (km)]]&lt;5,"Near")</f>
        <v>Far</v>
      </c>
      <c r="P118" s="5">
        <f t="shared" si="3"/>
        <v>0.13250000000000006</v>
      </c>
    </row>
    <row r="119" spans="1:16" ht="15" hidden="1" x14ac:dyDescent="0.25">
      <c r="A119" s="2" t="s">
        <v>124</v>
      </c>
      <c r="B119" s="2" t="s">
        <v>673</v>
      </c>
      <c r="C119" s="2" t="s">
        <v>720</v>
      </c>
      <c r="D119" s="2" t="s">
        <v>746</v>
      </c>
      <c r="E119" s="2">
        <v>15</v>
      </c>
      <c r="F119" s="2" t="str" cm="1">
        <f t="array" ref="F119">_xlfn.IFS(Table1[[#This Row],[Age]]&lt;=16,"15-16",Table1[[#This Row],[Age]]&lt;19,"17-18")</f>
        <v>15-16</v>
      </c>
      <c r="G119" s="2" t="s">
        <v>758</v>
      </c>
      <c r="H119" s="3">
        <v>0.69200000000000006</v>
      </c>
      <c r="I119" s="3">
        <v>0.80700000000000005</v>
      </c>
      <c r="J119" s="3" t="str" cm="1">
        <f t="array" ref="J119">_xlfn.IFS(Table1[[#This Row],[Overall Attendance]]&gt;=0.6,"Good",Table1[[#This Row],[Overall Attendance]]&lt;0.6,"Bad")</f>
        <v>Good</v>
      </c>
      <c r="K119" s="4">
        <v>40254</v>
      </c>
      <c r="L119" s="4">
        <f t="shared" si="2"/>
        <v>483048</v>
      </c>
      <c r="M119" s="4" t="str" cm="1">
        <f t="array" ref="M11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19" s="2">
        <v>5.5</v>
      </c>
      <c r="O119" s="2" t="str" cm="1">
        <f t="array" ref="O119">_xlfn.IFS(Table1[[#This Row],[Distance to School (km)]]&gt;=5,"Far",Table1[[#This Row],[Distance to School (km)]]&lt;5,"Near")</f>
        <v>Far</v>
      </c>
      <c r="P119" s="5">
        <f t="shared" si="3"/>
        <v>0.25049999999999994</v>
      </c>
    </row>
    <row r="120" spans="1:16" ht="15" hidden="1" x14ac:dyDescent="0.25">
      <c r="A120" s="2" t="s">
        <v>125</v>
      </c>
      <c r="B120" s="2" t="s">
        <v>657</v>
      </c>
      <c r="C120" s="2" t="s">
        <v>729</v>
      </c>
      <c r="D120" s="2" t="s">
        <v>755</v>
      </c>
      <c r="E120" s="2">
        <v>15</v>
      </c>
      <c r="F120" s="2" t="str" cm="1">
        <f t="array" ref="F120">_xlfn.IFS(Table1[[#This Row],[Age]]&lt;=16,"15-16",Table1[[#This Row],[Age]]&lt;19,"17-18")</f>
        <v>15-16</v>
      </c>
      <c r="G120" s="2" t="s">
        <v>757</v>
      </c>
      <c r="H120" s="3">
        <v>0.501</v>
      </c>
      <c r="I120" s="3">
        <v>0.80500000000000005</v>
      </c>
      <c r="J120" s="3" t="str" cm="1">
        <f t="array" ref="J120">_xlfn.IFS(Table1[[#This Row],[Overall Attendance]]&gt;=0.6,"Good",Table1[[#This Row],[Overall Attendance]]&lt;0.6,"Bad")</f>
        <v>Good</v>
      </c>
      <c r="K120" s="4">
        <v>144501</v>
      </c>
      <c r="L120" s="4">
        <f t="shared" si="2"/>
        <v>1734012</v>
      </c>
      <c r="M120" s="4" t="str" cm="1">
        <f t="array" ref="M12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20" s="2">
        <v>9.5</v>
      </c>
      <c r="O120" s="2" t="str" cm="1">
        <f t="array" ref="O120">_xlfn.IFS(Table1[[#This Row],[Distance to School (km)]]&gt;=5,"Far",Table1[[#This Row],[Distance to School (km)]]&lt;5,"Near")</f>
        <v>Far</v>
      </c>
      <c r="P120" s="5">
        <f t="shared" si="3"/>
        <v>0.34699999999999998</v>
      </c>
    </row>
    <row r="121" spans="1:16" ht="15" hidden="1" x14ac:dyDescent="0.25">
      <c r="A121" s="2" t="s">
        <v>126</v>
      </c>
      <c r="B121" s="2" t="s">
        <v>642</v>
      </c>
      <c r="C121" s="2" t="s">
        <v>730</v>
      </c>
      <c r="D121" s="2" t="s">
        <v>740</v>
      </c>
      <c r="E121" s="2">
        <v>16</v>
      </c>
      <c r="F121" s="2" t="str" cm="1">
        <f t="array" ref="F121">_xlfn.IFS(Table1[[#This Row],[Age]]&lt;=16,"15-16",Table1[[#This Row],[Age]]&lt;19,"17-18")</f>
        <v>15-16</v>
      </c>
      <c r="G121" s="2" t="s">
        <v>757</v>
      </c>
      <c r="H121" s="3">
        <v>0.71200000000000008</v>
      </c>
      <c r="I121" s="3">
        <v>0.76800000000000002</v>
      </c>
      <c r="J121" s="3" t="str" cm="1">
        <f t="array" ref="J121">_xlfn.IFS(Table1[[#This Row],[Overall Attendance]]&gt;=0.6,"Good",Table1[[#This Row],[Overall Attendance]]&lt;0.6,"Bad")</f>
        <v>Good</v>
      </c>
      <c r="K121" s="4">
        <v>43834</v>
      </c>
      <c r="L121" s="4">
        <f t="shared" si="2"/>
        <v>526008</v>
      </c>
      <c r="M121" s="4" t="str" cm="1">
        <f t="array" ref="M12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21" s="2">
        <v>2.2000000000000002</v>
      </c>
      <c r="O121" s="2" t="str" cm="1">
        <f t="array" ref="O121">_xlfn.IFS(Table1[[#This Row],[Distance to School (km)]]&gt;=5,"Far",Table1[[#This Row],[Distance to School (km)]]&lt;5,"Near")</f>
        <v>Near</v>
      </c>
      <c r="P121" s="5">
        <f t="shared" si="3"/>
        <v>0.26</v>
      </c>
    </row>
    <row r="122" spans="1:16" ht="15" x14ac:dyDescent="0.25">
      <c r="A122" s="2" t="s">
        <v>127</v>
      </c>
      <c r="B122" s="2" t="s">
        <v>662</v>
      </c>
      <c r="C122" s="2" t="s">
        <v>651</v>
      </c>
      <c r="D122" s="2" t="s">
        <v>739</v>
      </c>
      <c r="E122" s="2">
        <v>17</v>
      </c>
      <c r="F122" s="2" t="str" cm="1">
        <f t="array" ref="F122">_xlfn.IFS(Table1[[#This Row],[Age]]&lt;=16,"15-16",Table1[[#This Row],[Age]]&lt;19,"17-18")</f>
        <v>17-18</v>
      </c>
      <c r="G122" s="2" t="s">
        <v>757</v>
      </c>
      <c r="H122" s="3">
        <v>0.623</v>
      </c>
      <c r="I122" s="3">
        <v>0.78</v>
      </c>
      <c r="J122" s="3" t="str" cm="1">
        <f t="array" ref="J122">_xlfn.IFS(Table1[[#This Row],[Overall Attendance]]&gt;=0.6,"Good",Table1[[#This Row],[Overall Attendance]]&lt;0.6,"Bad")</f>
        <v>Good</v>
      </c>
      <c r="K122" s="4">
        <v>321623</v>
      </c>
      <c r="L122" s="4">
        <f t="shared" si="2"/>
        <v>3859476</v>
      </c>
      <c r="M122" s="4" t="str" cm="1">
        <f t="array" ref="M12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22" s="2">
        <v>8.3000000000000007</v>
      </c>
      <c r="O122" s="2" t="str" cm="1">
        <f t="array" ref="O122">_xlfn.IFS(Table1[[#This Row],[Distance to School (km)]]&gt;=5,"Far",Table1[[#This Row],[Distance to School (km)]]&lt;5,"Near")</f>
        <v>Far</v>
      </c>
      <c r="P122" s="5">
        <f t="shared" si="3"/>
        <v>0.29849999999999999</v>
      </c>
    </row>
    <row r="123" spans="1:16" ht="15" x14ac:dyDescent="0.25">
      <c r="A123" s="2" t="s">
        <v>128</v>
      </c>
      <c r="B123" s="2" t="s">
        <v>674</v>
      </c>
      <c r="C123" s="2" t="s">
        <v>706</v>
      </c>
      <c r="D123" s="2" t="s">
        <v>742</v>
      </c>
      <c r="E123" s="2">
        <v>17</v>
      </c>
      <c r="F123" s="2" t="str" cm="1">
        <f t="array" ref="F123">_xlfn.IFS(Table1[[#This Row],[Age]]&lt;=16,"15-16",Table1[[#This Row],[Age]]&lt;19,"17-18")</f>
        <v>17-18</v>
      </c>
      <c r="G123" s="2" t="s">
        <v>758</v>
      </c>
      <c r="H123" s="3">
        <v>0.45399999999999996</v>
      </c>
      <c r="I123" s="3">
        <v>0.84699999999999998</v>
      </c>
      <c r="J123" s="3" t="str" cm="1">
        <f t="array" ref="J123">_xlfn.IFS(Table1[[#This Row],[Overall Attendance]]&gt;=0.6,"Good",Table1[[#This Row],[Overall Attendance]]&lt;0.6,"Bad")</f>
        <v>Good</v>
      </c>
      <c r="K123" s="4">
        <v>177519</v>
      </c>
      <c r="L123" s="4">
        <f t="shared" si="2"/>
        <v>2130228</v>
      </c>
      <c r="M123" s="4" t="str" cm="1">
        <f t="array" ref="M12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23" s="2">
        <v>6.3</v>
      </c>
      <c r="O123" s="2" t="str" cm="1">
        <f t="array" ref="O123">_xlfn.IFS(Table1[[#This Row],[Distance to School (km)]]&gt;=5,"Far",Table1[[#This Row],[Distance to School (km)]]&lt;5,"Near")</f>
        <v>Far</v>
      </c>
      <c r="P123" s="5">
        <f t="shared" si="3"/>
        <v>0.34950000000000003</v>
      </c>
    </row>
    <row r="124" spans="1:16" ht="15" hidden="1" x14ac:dyDescent="0.25">
      <c r="A124" s="2" t="s">
        <v>129</v>
      </c>
      <c r="B124" s="2" t="s">
        <v>644</v>
      </c>
      <c r="C124" s="2" t="s">
        <v>697</v>
      </c>
      <c r="D124" s="2" t="s">
        <v>745</v>
      </c>
      <c r="E124" s="2">
        <v>15</v>
      </c>
      <c r="F124" s="2" t="str" cm="1">
        <f t="array" ref="F124">_xlfn.IFS(Table1[[#This Row],[Age]]&lt;=16,"15-16",Table1[[#This Row],[Age]]&lt;19,"17-18")</f>
        <v>15-16</v>
      </c>
      <c r="G124" s="2" t="s">
        <v>758</v>
      </c>
      <c r="H124" s="3">
        <v>0.55299999999999994</v>
      </c>
      <c r="I124" s="3">
        <v>0.88</v>
      </c>
      <c r="J124" s="3" t="str" cm="1">
        <f t="array" ref="J124">_xlfn.IFS(Table1[[#This Row],[Overall Attendance]]&gt;=0.6,"Good",Table1[[#This Row],[Overall Attendance]]&lt;0.6,"Bad")</f>
        <v>Good</v>
      </c>
      <c r="K124" s="4">
        <v>355735</v>
      </c>
      <c r="L124" s="4">
        <f t="shared" si="2"/>
        <v>4268820</v>
      </c>
      <c r="M124" s="4" t="str" cm="1">
        <f t="array" ref="M12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24" s="2">
        <v>5.8</v>
      </c>
      <c r="O124" s="2" t="str" cm="1">
        <f t="array" ref="O124">_xlfn.IFS(Table1[[#This Row],[Distance to School (km)]]&gt;=5,"Far",Table1[[#This Row],[Distance to School (km)]]&lt;5,"Near")</f>
        <v>Far</v>
      </c>
      <c r="P124" s="5">
        <f t="shared" si="3"/>
        <v>0.28350000000000009</v>
      </c>
    </row>
    <row r="125" spans="1:16" ht="15" x14ac:dyDescent="0.25">
      <c r="A125" s="2" t="s">
        <v>130</v>
      </c>
      <c r="B125" s="2" t="s">
        <v>675</v>
      </c>
      <c r="C125" s="2" t="s">
        <v>688</v>
      </c>
      <c r="D125" s="2" t="s">
        <v>641</v>
      </c>
      <c r="E125" s="2">
        <v>17</v>
      </c>
      <c r="F125" s="2" t="str" cm="1">
        <f t="array" ref="F125">_xlfn.IFS(Table1[[#This Row],[Age]]&lt;=16,"15-16",Table1[[#This Row],[Age]]&lt;19,"17-18")</f>
        <v>17-18</v>
      </c>
      <c r="G125" s="2" t="s">
        <v>758</v>
      </c>
      <c r="H125" s="3">
        <v>0.68200000000000005</v>
      </c>
      <c r="I125" s="3">
        <v>0.94599999999999995</v>
      </c>
      <c r="J125" s="3" t="str" cm="1">
        <f t="array" ref="J125">_xlfn.IFS(Table1[[#This Row],[Overall Attendance]]&gt;=0.6,"Good",Table1[[#This Row],[Overall Attendance]]&lt;0.6,"Bad")</f>
        <v>Good</v>
      </c>
      <c r="K125" s="4">
        <v>36428</v>
      </c>
      <c r="L125" s="4">
        <f t="shared" si="2"/>
        <v>437136</v>
      </c>
      <c r="M125" s="4" t="str" cm="1">
        <f t="array" ref="M12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25" s="2">
        <v>9.8000000000000007</v>
      </c>
      <c r="O125" s="2" t="str" cm="1">
        <f t="array" ref="O125">_xlfn.IFS(Table1[[#This Row],[Distance to School (km)]]&gt;=5,"Far",Table1[[#This Row],[Distance to School (km)]]&lt;5,"Near")</f>
        <v>Far</v>
      </c>
      <c r="P125" s="5">
        <f t="shared" si="3"/>
        <v>0.18599999999999994</v>
      </c>
    </row>
    <row r="126" spans="1:16" ht="15" x14ac:dyDescent="0.25">
      <c r="A126" s="2" t="s">
        <v>131</v>
      </c>
      <c r="B126" s="2" t="s">
        <v>677</v>
      </c>
      <c r="C126" s="2" t="s">
        <v>730</v>
      </c>
      <c r="D126" s="2" t="s">
        <v>752</v>
      </c>
      <c r="E126" s="2">
        <v>17</v>
      </c>
      <c r="F126" s="2" t="str" cm="1">
        <f t="array" ref="F126">_xlfn.IFS(Table1[[#This Row],[Age]]&lt;=16,"15-16",Table1[[#This Row],[Age]]&lt;19,"17-18")</f>
        <v>17-18</v>
      </c>
      <c r="G126" s="2" t="s">
        <v>757</v>
      </c>
      <c r="H126" s="3">
        <v>0.80299999999999994</v>
      </c>
      <c r="I126" s="3">
        <v>0.85799999999999998</v>
      </c>
      <c r="J126" s="3" t="str" cm="1">
        <f t="array" ref="J126">_xlfn.IFS(Table1[[#This Row],[Overall Attendance]]&gt;=0.6,"Good",Table1[[#This Row],[Overall Attendance]]&lt;0.6,"Bad")</f>
        <v>Good</v>
      </c>
      <c r="K126" s="4">
        <v>84346</v>
      </c>
      <c r="L126" s="4">
        <f t="shared" si="2"/>
        <v>1012152</v>
      </c>
      <c r="M126" s="4" t="str" cm="1">
        <f t="array" ref="M12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26" s="2">
        <v>4.7</v>
      </c>
      <c r="O126" s="2" t="str" cm="1">
        <f t="array" ref="O126">_xlfn.IFS(Table1[[#This Row],[Distance to School (km)]]&gt;=5,"Far",Table1[[#This Row],[Distance to School (km)]]&lt;5,"Near")</f>
        <v>Near</v>
      </c>
      <c r="P126" s="5">
        <f t="shared" si="3"/>
        <v>0.16949999999999998</v>
      </c>
    </row>
    <row r="127" spans="1:16" ht="15" x14ac:dyDescent="0.25">
      <c r="A127" s="2" t="s">
        <v>132</v>
      </c>
      <c r="B127" s="2" t="s">
        <v>682</v>
      </c>
      <c r="C127" s="2" t="s">
        <v>698</v>
      </c>
      <c r="D127" s="2" t="s">
        <v>668</v>
      </c>
      <c r="E127" s="2">
        <v>18</v>
      </c>
      <c r="F127" s="2" t="str" cm="1">
        <f t="array" ref="F127">_xlfn.IFS(Table1[[#This Row],[Age]]&lt;=16,"15-16",Table1[[#This Row],[Age]]&lt;19,"17-18")</f>
        <v>17-18</v>
      </c>
      <c r="G127" s="2" t="s">
        <v>758</v>
      </c>
      <c r="H127" s="3">
        <v>0.44700000000000001</v>
      </c>
      <c r="I127" s="3">
        <v>0.71799999999999997</v>
      </c>
      <c r="J127" s="3" t="str" cm="1">
        <f t="array" ref="J127">_xlfn.IFS(Table1[[#This Row],[Overall Attendance]]&gt;=0.6,"Good",Table1[[#This Row],[Overall Attendance]]&lt;0.6,"Bad")</f>
        <v>Good</v>
      </c>
      <c r="K127" s="4">
        <v>41210</v>
      </c>
      <c r="L127" s="4">
        <f t="shared" si="2"/>
        <v>494520</v>
      </c>
      <c r="M127" s="4" t="str" cm="1">
        <f t="array" ref="M12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27" s="2">
        <v>6.9</v>
      </c>
      <c r="O127" s="2" t="str" cm="1">
        <f t="array" ref="O127">_xlfn.IFS(Table1[[#This Row],[Distance to School (km)]]&gt;=5,"Far",Table1[[#This Row],[Distance to School (km)]]&lt;5,"Near")</f>
        <v>Far</v>
      </c>
      <c r="P127" s="5">
        <f t="shared" si="3"/>
        <v>0.41749999999999998</v>
      </c>
    </row>
    <row r="128" spans="1:16" ht="15" x14ac:dyDescent="0.25">
      <c r="A128" s="2" t="s">
        <v>133</v>
      </c>
      <c r="B128" s="2" t="s">
        <v>663</v>
      </c>
      <c r="C128" s="2" t="s">
        <v>704</v>
      </c>
      <c r="D128" s="2" t="s">
        <v>737</v>
      </c>
      <c r="E128" s="2">
        <v>18</v>
      </c>
      <c r="F128" s="2" t="str" cm="1">
        <f t="array" ref="F128">_xlfn.IFS(Table1[[#This Row],[Age]]&lt;=16,"15-16",Table1[[#This Row],[Age]]&lt;19,"17-18")</f>
        <v>17-18</v>
      </c>
      <c r="G128" s="2" t="s">
        <v>758</v>
      </c>
      <c r="H128" s="3">
        <v>0.69599999999999995</v>
      </c>
      <c r="I128" s="3">
        <v>0.75599999999999989</v>
      </c>
      <c r="J128" s="3" t="str" cm="1">
        <f t="array" ref="J128">_xlfn.IFS(Table1[[#This Row],[Overall Attendance]]&gt;=0.6,"Good",Table1[[#This Row],[Overall Attendance]]&lt;0.6,"Bad")</f>
        <v>Good</v>
      </c>
      <c r="K128" s="4">
        <v>118538</v>
      </c>
      <c r="L128" s="4">
        <f t="shared" si="2"/>
        <v>1422456</v>
      </c>
      <c r="M128" s="4" t="str" cm="1">
        <f t="array" ref="M12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28" s="2">
        <v>11.6</v>
      </c>
      <c r="O128" s="2" t="str" cm="1">
        <f t="array" ref="O128">_xlfn.IFS(Table1[[#This Row],[Distance to School (km)]]&gt;=5,"Far",Table1[[#This Row],[Distance to School (km)]]&lt;5,"Near")</f>
        <v>Far</v>
      </c>
      <c r="P128" s="5">
        <f t="shared" si="3"/>
        <v>0.27400000000000002</v>
      </c>
    </row>
    <row r="129" spans="1:16" ht="15" x14ac:dyDescent="0.25">
      <c r="A129" s="2" t="s">
        <v>134</v>
      </c>
      <c r="B129" s="2" t="s">
        <v>670</v>
      </c>
      <c r="C129" s="2" t="s">
        <v>651</v>
      </c>
      <c r="D129" s="2" t="s">
        <v>748</v>
      </c>
      <c r="E129" s="2">
        <v>18</v>
      </c>
      <c r="F129" s="2" t="str" cm="1">
        <f t="array" ref="F129">_xlfn.IFS(Table1[[#This Row],[Age]]&lt;=16,"15-16",Table1[[#This Row],[Age]]&lt;19,"17-18")</f>
        <v>17-18</v>
      </c>
      <c r="G129" s="2" t="s">
        <v>757</v>
      </c>
      <c r="H129" s="3">
        <v>0.45899999999999996</v>
      </c>
      <c r="I129" s="3">
        <v>0.76800000000000002</v>
      </c>
      <c r="J129" s="3" t="str" cm="1">
        <f t="array" ref="J129">_xlfn.IFS(Table1[[#This Row],[Overall Attendance]]&gt;=0.6,"Good",Table1[[#This Row],[Overall Attendance]]&lt;0.6,"Bad")</f>
        <v>Good</v>
      </c>
      <c r="K129" s="4">
        <v>30763</v>
      </c>
      <c r="L129" s="4">
        <f t="shared" si="2"/>
        <v>369156</v>
      </c>
      <c r="M129" s="4" t="str" cm="1">
        <f t="array" ref="M12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29" s="2">
        <v>7.9</v>
      </c>
      <c r="O129" s="2" t="str" cm="1">
        <f t="array" ref="O129">_xlfn.IFS(Table1[[#This Row],[Distance to School (km)]]&gt;=5,"Far",Table1[[#This Row],[Distance to School (km)]]&lt;5,"Near")</f>
        <v>Far</v>
      </c>
      <c r="P129" s="5">
        <f t="shared" si="3"/>
        <v>0.38650000000000007</v>
      </c>
    </row>
    <row r="130" spans="1:16" ht="15" x14ac:dyDescent="0.25">
      <c r="A130" s="2" t="s">
        <v>135</v>
      </c>
      <c r="B130" s="2" t="s">
        <v>651</v>
      </c>
      <c r="C130" s="2" t="s">
        <v>725</v>
      </c>
      <c r="D130" s="2" t="s">
        <v>748</v>
      </c>
      <c r="E130" s="2">
        <v>17</v>
      </c>
      <c r="F130" s="2" t="str" cm="1">
        <f t="array" ref="F130">_xlfn.IFS(Table1[[#This Row],[Age]]&lt;=16,"15-16",Table1[[#This Row],[Age]]&lt;19,"17-18")</f>
        <v>17-18</v>
      </c>
      <c r="G130" s="2" t="s">
        <v>758</v>
      </c>
      <c r="H130" s="3">
        <v>0.65500000000000003</v>
      </c>
      <c r="I130" s="3">
        <v>0.88300000000000001</v>
      </c>
      <c r="J130" s="3" t="str" cm="1">
        <f t="array" ref="J130">_xlfn.IFS(Table1[[#This Row],[Overall Attendance]]&gt;=0.6,"Good",Table1[[#This Row],[Overall Attendance]]&lt;0.6,"Bad")</f>
        <v>Good</v>
      </c>
      <c r="K130" s="4">
        <v>81869</v>
      </c>
      <c r="L130" s="4">
        <f t="shared" si="2"/>
        <v>982428</v>
      </c>
      <c r="M130" s="4" t="str" cm="1">
        <f t="array" ref="M13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30" s="2">
        <v>2.2999999999999998</v>
      </c>
      <c r="O130" s="2" t="str" cm="1">
        <f t="array" ref="O130">_xlfn.IFS(Table1[[#This Row],[Distance to School (km)]]&gt;=5,"Far",Table1[[#This Row],[Distance to School (km)]]&lt;5,"Near")</f>
        <v>Near</v>
      </c>
      <c r="P130" s="5">
        <f t="shared" si="3"/>
        <v>0.23099999999999998</v>
      </c>
    </row>
    <row r="131" spans="1:16" ht="15" hidden="1" x14ac:dyDescent="0.25">
      <c r="A131" s="2" t="s">
        <v>136</v>
      </c>
      <c r="B131" s="2" t="s">
        <v>656</v>
      </c>
      <c r="C131" s="2" t="s">
        <v>730</v>
      </c>
      <c r="D131" s="2" t="s">
        <v>738</v>
      </c>
      <c r="E131" s="2">
        <v>16</v>
      </c>
      <c r="F131" s="2" t="str" cm="1">
        <f t="array" ref="F131">_xlfn.IFS(Table1[[#This Row],[Age]]&lt;=16,"15-16",Table1[[#This Row],[Age]]&lt;19,"17-18")</f>
        <v>15-16</v>
      </c>
      <c r="G131" s="2" t="s">
        <v>757</v>
      </c>
      <c r="H131" s="3">
        <v>0.64500000000000002</v>
      </c>
      <c r="I131" s="3">
        <v>0.80099999999999993</v>
      </c>
      <c r="J131" s="3" t="str" cm="1">
        <f t="array" ref="J131">_xlfn.IFS(Table1[[#This Row],[Overall Attendance]]&gt;=0.6,"Good",Table1[[#This Row],[Overall Attendance]]&lt;0.6,"Bad")</f>
        <v>Good</v>
      </c>
      <c r="K131" s="4">
        <v>356565</v>
      </c>
      <c r="L131" s="4">
        <f t="shared" ref="L131:L194" si="4">K131*12</f>
        <v>4278780</v>
      </c>
      <c r="M131" s="4" t="str" cm="1">
        <f t="array" ref="M13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31" s="2">
        <v>2.2999999999999998</v>
      </c>
      <c r="O131" s="2" t="str" cm="1">
        <f t="array" ref="O131">_xlfn.IFS(Table1[[#This Row],[Distance to School (km)]]&gt;=5,"Far",Table1[[#This Row],[Distance to School (km)]]&lt;5,"Near")</f>
        <v>Near</v>
      </c>
      <c r="P131" s="5">
        <f t="shared" ref="P131:P194" si="5">100%-AVERAGE(H131:I131)</f>
        <v>0.27700000000000002</v>
      </c>
    </row>
    <row r="132" spans="1:16" ht="15" hidden="1" x14ac:dyDescent="0.25">
      <c r="A132" s="2" t="s">
        <v>137</v>
      </c>
      <c r="B132" s="2" t="s">
        <v>674</v>
      </c>
      <c r="C132" s="2" t="s">
        <v>652</v>
      </c>
      <c r="D132" s="2" t="s">
        <v>745</v>
      </c>
      <c r="E132" s="2">
        <v>16</v>
      </c>
      <c r="F132" s="2" t="str" cm="1">
        <f t="array" ref="F132">_xlfn.IFS(Table1[[#This Row],[Age]]&lt;=16,"15-16",Table1[[#This Row],[Age]]&lt;19,"17-18")</f>
        <v>15-16</v>
      </c>
      <c r="G132" s="2" t="s">
        <v>757</v>
      </c>
      <c r="H132" s="3">
        <v>0.46700000000000003</v>
      </c>
      <c r="I132" s="3">
        <v>0.9</v>
      </c>
      <c r="J132" s="3" t="str" cm="1">
        <f t="array" ref="J132">_xlfn.IFS(Table1[[#This Row],[Overall Attendance]]&gt;=0.6,"Good",Table1[[#This Row],[Overall Attendance]]&lt;0.6,"Bad")</f>
        <v>Good</v>
      </c>
      <c r="K132" s="4">
        <v>274693</v>
      </c>
      <c r="L132" s="4">
        <f t="shared" si="4"/>
        <v>3296316</v>
      </c>
      <c r="M132" s="4" t="str" cm="1">
        <f t="array" ref="M13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32" s="2">
        <v>3.2</v>
      </c>
      <c r="O132" s="2" t="str" cm="1">
        <f t="array" ref="O132">_xlfn.IFS(Table1[[#This Row],[Distance to School (km)]]&gt;=5,"Far",Table1[[#This Row],[Distance to School (km)]]&lt;5,"Near")</f>
        <v>Near</v>
      </c>
      <c r="P132" s="5">
        <f t="shared" si="5"/>
        <v>0.3165</v>
      </c>
    </row>
    <row r="133" spans="1:16" ht="15" hidden="1" x14ac:dyDescent="0.25">
      <c r="A133" s="2" t="s">
        <v>138</v>
      </c>
      <c r="B133" s="2" t="s">
        <v>681</v>
      </c>
      <c r="C133" s="2" t="s">
        <v>688</v>
      </c>
      <c r="D133" s="2" t="s">
        <v>740</v>
      </c>
      <c r="E133" s="2">
        <v>16</v>
      </c>
      <c r="F133" s="2" t="str" cm="1">
        <f t="array" ref="F133">_xlfn.IFS(Table1[[#This Row],[Age]]&lt;=16,"15-16",Table1[[#This Row],[Age]]&lt;19,"17-18")</f>
        <v>15-16</v>
      </c>
      <c r="G133" s="2" t="s">
        <v>758</v>
      </c>
      <c r="H133" s="3">
        <v>0.42399999999999999</v>
      </c>
      <c r="I133" s="3">
        <v>0.98</v>
      </c>
      <c r="J133" s="3" t="str" cm="1">
        <f t="array" ref="J133">_xlfn.IFS(Table1[[#This Row],[Overall Attendance]]&gt;=0.6,"Good",Table1[[#This Row],[Overall Attendance]]&lt;0.6,"Bad")</f>
        <v>Good</v>
      </c>
      <c r="K133" s="4">
        <v>300106</v>
      </c>
      <c r="L133" s="4">
        <f t="shared" si="4"/>
        <v>3601272</v>
      </c>
      <c r="M133" s="4" t="str" cm="1">
        <f t="array" ref="M13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33" s="2">
        <v>11.6</v>
      </c>
      <c r="O133" s="2" t="str" cm="1">
        <f t="array" ref="O133">_xlfn.IFS(Table1[[#This Row],[Distance to School (km)]]&gt;=5,"Far",Table1[[#This Row],[Distance to School (km)]]&lt;5,"Near")</f>
        <v>Far</v>
      </c>
      <c r="P133" s="5">
        <f t="shared" si="5"/>
        <v>0.29800000000000004</v>
      </c>
    </row>
    <row r="134" spans="1:16" ht="15" hidden="1" x14ac:dyDescent="0.25">
      <c r="A134" s="2" t="s">
        <v>139</v>
      </c>
      <c r="B134" s="2" t="s">
        <v>665</v>
      </c>
      <c r="C134" s="2" t="s">
        <v>715</v>
      </c>
      <c r="D134" s="2" t="s">
        <v>745</v>
      </c>
      <c r="E134" s="2">
        <v>16</v>
      </c>
      <c r="F134" s="2" t="str" cm="1">
        <f t="array" ref="F134">_xlfn.IFS(Table1[[#This Row],[Age]]&lt;=16,"15-16",Table1[[#This Row],[Age]]&lt;19,"17-18")</f>
        <v>15-16</v>
      </c>
      <c r="G134" s="2" t="s">
        <v>757</v>
      </c>
      <c r="H134" s="3">
        <v>0.46600000000000003</v>
      </c>
      <c r="I134" s="3">
        <v>0.66200000000000003</v>
      </c>
      <c r="J134" s="3" t="str" cm="1">
        <f t="array" ref="J134">_xlfn.IFS(Table1[[#This Row],[Overall Attendance]]&gt;=0.6,"Good",Table1[[#This Row],[Overall Attendance]]&lt;0.6,"Bad")</f>
        <v>Good</v>
      </c>
      <c r="K134" s="4">
        <v>38171</v>
      </c>
      <c r="L134" s="4">
        <f t="shared" si="4"/>
        <v>458052</v>
      </c>
      <c r="M134" s="4" t="str" cm="1">
        <f t="array" ref="M13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34" s="2">
        <v>3.8</v>
      </c>
      <c r="O134" s="2" t="str" cm="1">
        <f t="array" ref="O134">_xlfn.IFS(Table1[[#This Row],[Distance to School (km)]]&gt;=5,"Far",Table1[[#This Row],[Distance to School (km)]]&lt;5,"Near")</f>
        <v>Near</v>
      </c>
      <c r="P134" s="5">
        <f t="shared" si="5"/>
        <v>0.43599999999999994</v>
      </c>
    </row>
    <row r="135" spans="1:16" ht="15" x14ac:dyDescent="0.25">
      <c r="A135" s="2" t="s">
        <v>140</v>
      </c>
      <c r="B135" s="2" t="s">
        <v>642</v>
      </c>
      <c r="C135" s="2" t="s">
        <v>697</v>
      </c>
      <c r="D135" s="2" t="s">
        <v>751</v>
      </c>
      <c r="E135" s="2">
        <v>18</v>
      </c>
      <c r="F135" s="2" t="str" cm="1">
        <f t="array" ref="F135">_xlfn.IFS(Table1[[#This Row],[Age]]&lt;=16,"15-16",Table1[[#This Row],[Age]]&lt;19,"17-18")</f>
        <v>17-18</v>
      </c>
      <c r="G135" s="2" t="s">
        <v>758</v>
      </c>
      <c r="H135" s="3">
        <v>0.64599999999999991</v>
      </c>
      <c r="I135" s="3">
        <v>0.78200000000000003</v>
      </c>
      <c r="J135" s="3" t="str" cm="1">
        <f t="array" ref="J135">_xlfn.IFS(Table1[[#This Row],[Overall Attendance]]&gt;=0.6,"Good",Table1[[#This Row],[Overall Attendance]]&lt;0.6,"Bad")</f>
        <v>Good</v>
      </c>
      <c r="K135" s="4">
        <v>49835</v>
      </c>
      <c r="L135" s="4">
        <f t="shared" si="4"/>
        <v>598020</v>
      </c>
      <c r="M135" s="4" t="str" cm="1">
        <f t="array" ref="M13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35" s="2">
        <v>5.3</v>
      </c>
      <c r="O135" s="2" t="str" cm="1">
        <f t="array" ref="O135">_xlfn.IFS(Table1[[#This Row],[Distance to School (km)]]&gt;=5,"Far",Table1[[#This Row],[Distance to School (km)]]&lt;5,"Near")</f>
        <v>Far</v>
      </c>
      <c r="P135" s="5">
        <f t="shared" si="5"/>
        <v>0.28600000000000003</v>
      </c>
    </row>
    <row r="136" spans="1:16" ht="15" x14ac:dyDescent="0.25">
      <c r="A136" s="2" t="s">
        <v>141</v>
      </c>
      <c r="B136" s="2" t="s">
        <v>647</v>
      </c>
      <c r="C136" s="2" t="s">
        <v>696</v>
      </c>
      <c r="D136" s="2" t="s">
        <v>742</v>
      </c>
      <c r="E136" s="2">
        <v>17</v>
      </c>
      <c r="F136" s="2" t="str" cm="1">
        <f t="array" ref="F136">_xlfn.IFS(Table1[[#This Row],[Age]]&lt;=16,"15-16",Table1[[#This Row],[Age]]&lt;19,"17-18")</f>
        <v>17-18</v>
      </c>
      <c r="G136" s="2" t="s">
        <v>758</v>
      </c>
      <c r="H136" s="3">
        <v>0.6</v>
      </c>
      <c r="I136" s="3">
        <v>0.83700000000000008</v>
      </c>
      <c r="J136" s="3" t="str" cm="1">
        <f t="array" ref="J136">_xlfn.IFS(Table1[[#This Row],[Overall Attendance]]&gt;=0.6,"Good",Table1[[#This Row],[Overall Attendance]]&lt;0.6,"Bad")</f>
        <v>Good</v>
      </c>
      <c r="K136" s="4">
        <v>96839</v>
      </c>
      <c r="L136" s="4">
        <f t="shared" si="4"/>
        <v>1162068</v>
      </c>
      <c r="M136" s="4" t="str" cm="1">
        <f t="array" ref="M13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36" s="2">
        <v>2.1</v>
      </c>
      <c r="O136" s="2" t="str" cm="1">
        <f t="array" ref="O136">_xlfn.IFS(Table1[[#This Row],[Distance to School (km)]]&gt;=5,"Far",Table1[[#This Row],[Distance to School (km)]]&lt;5,"Near")</f>
        <v>Near</v>
      </c>
      <c r="P136" s="5">
        <f t="shared" si="5"/>
        <v>0.28149999999999997</v>
      </c>
    </row>
    <row r="137" spans="1:16" ht="15" x14ac:dyDescent="0.25">
      <c r="A137" s="2" t="s">
        <v>142</v>
      </c>
      <c r="B137" s="2" t="s">
        <v>648</v>
      </c>
      <c r="C137" s="2" t="s">
        <v>713</v>
      </c>
      <c r="D137" s="2" t="s">
        <v>739</v>
      </c>
      <c r="E137" s="2">
        <v>18</v>
      </c>
      <c r="F137" s="2" t="str" cm="1">
        <f t="array" ref="F137">_xlfn.IFS(Table1[[#This Row],[Age]]&lt;=16,"15-16",Table1[[#This Row],[Age]]&lt;19,"17-18")</f>
        <v>17-18</v>
      </c>
      <c r="G137" s="2" t="s">
        <v>758</v>
      </c>
      <c r="H137" s="3">
        <v>0.58399999999999996</v>
      </c>
      <c r="I137" s="3">
        <v>0.71499999999999997</v>
      </c>
      <c r="J137" s="3" t="str" cm="1">
        <f t="array" ref="J137">_xlfn.IFS(Table1[[#This Row],[Overall Attendance]]&gt;=0.6,"Good",Table1[[#This Row],[Overall Attendance]]&lt;0.6,"Bad")</f>
        <v>Good</v>
      </c>
      <c r="K137" s="4">
        <v>55193</v>
      </c>
      <c r="L137" s="4">
        <f t="shared" si="4"/>
        <v>662316</v>
      </c>
      <c r="M137" s="4" t="str" cm="1">
        <f t="array" ref="M13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37" s="2">
        <v>10.1</v>
      </c>
      <c r="O137" s="2" t="str" cm="1">
        <f t="array" ref="O137">_xlfn.IFS(Table1[[#This Row],[Distance to School (km)]]&gt;=5,"Far",Table1[[#This Row],[Distance to School (km)]]&lt;5,"Near")</f>
        <v>Far</v>
      </c>
      <c r="P137" s="5">
        <f t="shared" si="5"/>
        <v>0.35050000000000003</v>
      </c>
    </row>
    <row r="138" spans="1:16" ht="15" x14ac:dyDescent="0.25">
      <c r="A138" s="2" t="s">
        <v>143</v>
      </c>
      <c r="B138" s="2" t="s">
        <v>683</v>
      </c>
      <c r="C138" s="2" t="s">
        <v>687</v>
      </c>
      <c r="D138" s="2" t="s">
        <v>736</v>
      </c>
      <c r="E138" s="2">
        <v>18</v>
      </c>
      <c r="F138" s="2" t="str" cm="1">
        <f t="array" ref="F138">_xlfn.IFS(Table1[[#This Row],[Age]]&lt;=16,"15-16",Table1[[#This Row],[Age]]&lt;19,"17-18")</f>
        <v>17-18</v>
      </c>
      <c r="G138" s="2" t="s">
        <v>757</v>
      </c>
      <c r="H138" s="3">
        <v>0.60799999999999998</v>
      </c>
      <c r="I138" s="3">
        <v>0.85</v>
      </c>
      <c r="J138" s="3" t="str" cm="1">
        <f t="array" ref="J138">_xlfn.IFS(Table1[[#This Row],[Overall Attendance]]&gt;=0.6,"Good",Table1[[#This Row],[Overall Attendance]]&lt;0.6,"Bad")</f>
        <v>Good</v>
      </c>
      <c r="K138" s="4">
        <v>33756</v>
      </c>
      <c r="L138" s="4">
        <f t="shared" si="4"/>
        <v>405072</v>
      </c>
      <c r="M138" s="4" t="str" cm="1">
        <f t="array" ref="M13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38" s="2">
        <v>1.8</v>
      </c>
      <c r="O138" s="2" t="str" cm="1">
        <f t="array" ref="O138">_xlfn.IFS(Table1[[#This Row],[Distance to School (km)]]&gt;=5,"Far",Table1[[#This Row],[Distance to School (km)]]&lt;5,"Near")</f>
        <v>Near</v>
      </c>
      <c r="P138" s="5">
        <f t="shared" si="5"/>
        <v>0.27100000000000002</v>
      </c>
    </row>
    <row r="139" spans="1:16" ht="15" hidden="1" x14ac:dyDescent="0.25">
      <c r="A139" s="2" t="s">
        <v>144</v>
      </c>
      <c r="B139" s="2" t="s">
        <v>642</v>
      </c>
      <c r="C139" s="2" t="s">
        <v>700</v>
      </c>
      <c r="D139" s="2" t="s">
        <v>747</v>
      </c>
      <c r="E139" s="2">
        <v>16</v>
      </c>
      <c r="F139" s="2" t="str" cm="1">
        <f t="array" ref="F139">_xlfn.IFS(Table1[[#This Row],[Age]]&lt;=16,"15-16",Table1[[#This Row],[Age]]&lt;19,"17-18")</f>
        <v>15-16</v>
      </c>
      <c r="G139" s="2" t="s">
        <v>757</v>
      </c>
      <c r="H139" s="3">
        <v>0.623</v>
      </c>
      <c r="I139" s="3">
        <v>0.87599999999999989</v>
      </c>
      <c r="J139" s="3" t="str" cm="1">
        <f t="array" ref="J139">_xlfn.IFS(Table1[[#This Row],[Overall Attendance]]&gt;=0.6,"Good",Table1[[#This Row],[Overall Attendance]]&lt;0.6,"Bad")</f>
        <v>Good</v>
      </c>
      <c r="K139" s="4">
        <v>50103</v>
      </c>
      <c r="L139" s="4">
        <f t="shared" si="4"/>
        <v>601236</v>
      </c>
      <c r="M139" s="4" t="str" cm="1">
        <f t="array" ref="M13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39" s="2">
        <v>7.1</v>
      </c>
      <c r="O139" s="2" t="str" cm="1">
        <f t="array" ref="O139">_xlfn.IFS(Table1[[#This Row],[Distance to School (km)]]&gt;=5,"Far",Table1[[#This Row],[Distance to School (km)]]&lt;5,"Near")</f>
        <v>Far</v>
      </c>
      <c r="P139" s="5">
        <f t="shared" si="5"/>
        <v>0.25050000000000006</v>
      </c>
    </row>
    <row r="140" spans="1:16" ht="15" hidden="1" x14ac:dyDescent="0.25">
      <c r="A140" s="2" t="s">
        <v>145</v>
      </c>
      <c r="B140" s="2" t="s">
        <v>651</v>
      </c>
      <c r="C140" s="2" t="s">
        <v>730</v>
      </c>
      <c r="D140" s="2" t="s">
        <v>742</v>
      </c>
      <c r="E140" s="2">
        <v>15</v>
      </c>
      <c r="F140" s="2" t="str" cm="1">
        <f t="array" ref="F140">_xlfn.IFS(Table1[[#This Row],[Age]]&lt;=16,"15-16",Table1[[#This Row],[Age]]&lt;19,"17-18")</f>
        <v>15-16</v>
      </c>
      <c r="G140" s="2" t="s">
        <v>757</v>
      </c>
      <c r="H140" s="3">
        <v>0.76400000000000001</v>
      </c>
      <c r="I140" s="3">
        <v>0.78400000000000003</v>
      </c>
      <c r="J140" s="3" t="str" cm="1">
        <f t="array" ref="J140">_xlfn.IFS(Table1[[#This Row],[Overall Attendance]]&gt;=0.6,"Good",Table1[[#This Row],[Overall Attendance]]&lt;0.6,"Bad")</f>
        <v>Good</v>
      </c>
      <c r="K140" s="4">
        <v>205331</v>
      </c>
      <c r="L140" s="4">
        <f t="shared" si="4"/>
        <v>2463972</v>
      </c>
      <c r="M140" s="4" t="str" cm="1">
        <f t="array" ref="M14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40" s="2">
        <v>10.5</v>
      </c>
      <c r="O140" s="2" t="str" cm="1">
        <f t="array" ref="O140">_xlfn.IFS(Table1[[#This Row],[Distance to School (km)]]&gt;=5,"Far",Table1[[#This Row],[Distance to School (km)]]&lt;5,"Near")</f>
        <v>Far</v>
      </c>
      <c r="P140" s="5">
        <f t="shared" si="5"/>
        <v>0.22599999999999998</v>
      </c>
    </row>
    <row r="141" spans="1:16" ht="15" x14ac:dyDescent="0.25">
      <c r="A141" s="2" t="s">
        <v>146</v>
      </c>
      <c r="B141" s="2" t="s">
        <v>665</v>
      </c>
      <c r="C141" s="2" t="s">
        <v>726</v>
      </c>
      <c r="D141" s="2" t="s">
        <v>738</v>
      </c>
      <c r="E141" s="2">
        <v>17</v>
      </c>
      <c r="F141" s="2" t="str" cm="1">
        <f t="array" ref="F141">_xlfn.IFS(Table1[[#This Row],[Age]]&lt;=16,"15-16",Table1[[#This Row],[Age]]&lt;19,"17-18")</f>
        <v>17-18</v>
      </c>
      <c r="G141" s="2" t="s">
        <v>758</v>
      </c>
      <c r="H141" s="3">
        <v>0.83</v>
      </c>
      <c r="I141" s="3">
        <v>0.83799999999999997</v>
      </c>
      <c r="J141" s="3" t="str" cm="1">
        <f t="array" ref="J141">_xlfn.IFS(Table1[[#This Row],[Overall Attendance]]&gt;=0.6,"Good",Table1[[#This Row],[Overall Attendance]]&lt;0.6,"Bad")</f>
        <v>Good</v>
      </c>
      <c r="K141" s="4">
        <v>31298</v>
      </c>
      <c r="L141" s="4">
        <f t="shared" si="4"/>
        <v>375576</v>
      </c>
      <c r="M141" s="4" t="str" cm="1">
        <f t="array" ref="M14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41" s="2">
        <v>9.4</v>
      </c>
      <c r="O141" s="2" t="str" cm="1">
        <f t="array" ref="O141">_xlfn.IFS(Table1[[#This Row],[Distance to School (km)]]&gt;=5,"Far",Table1[[#This Row],[Distance to School (km)]]&lt;5,"Near")</f>
        <v>Far</v>
      </c>
      <c r="P141" s="5">
        <f t="shared" si="5"/>
        <v>0.16600000000000004</v>
      </c>
    </row>
    <row r="142" spans="1:16" ht="15" hidden="1" x14ac:dyDescent="0.25">
      <c r="A142" s="2" t="s">
        <v>147</v>
      </c>
      <c r="B142" s="2" t="s">
        <v>646</v>
      </c>
      <c r="C142" s="2" t="s">
        <v>702</v>
      </c>
      <c r="D142" s="2" t="s">
        <v>712</v>
      </c>
      <c r="E142" s="2">
        <v>16</v>
      </c>
      <c r="F142" s="2" t="str" cm="1">
        <f t="array" ref="F142">_xlfn.IFS(Table1[[#This Row],[Age]]&lt;=16,"15-16",Table1[[#This Row],[Age]]&lt;19,"17-18")</f>
        <v>15-16</v>
      </c>
      <c r="G142" s="2" t="s">
        <v>757</v>
      </c>
      <c r="H142" s="3">
        <v>0.52900000000000003</v>
      </c>
      <c r="I142" s="3">
        <v>0.94200000000000006</v>
      </c>
      <c r="J142" s="3" t="str" cm="1">
        <f t="array" ref="J142">_xlfn.IFS(Table1[[#This Row],[Overall Attendance]]&gt;=0.6,"Good",Table1[[#This Row],[Overall Attendance]]&lt;0.6,"Bad")</f>
        <v>Good</v>
      </c>
      <c r="K142" s="4">
        <v>382293</v>
      </c>
      <c r="L142" s="4">
        <f t="shared" si="4"/>
        <v>4587516</v>
      </c>
      <c r="M142" s="4" t="str" cm="1">
        <f t="array" ref="M14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42" s="2">
        <v>7.8</v>
      </c>
      <c r="O142" s="2" t="str" cm="1">
        <f t="array" ref="O142">_xlfn.IFS(Table1[[#This Row],[Distance to School (km)]]&gt;=5,"Far",Table1[[#This Row],[Distance to School (km)]]&lt;5,"Near")</f>
        <v>Far</v>
      </c>
      <c r="P142" s="5">
        <f t="shared" si="5"/>
        <v>0.26449999999999996</v>
      </c>
    </row>
    <row r="143" spans="1:16" ht="15" x14ac:dyDescent="0.25">
      <c r="A143" s="2" t="s">
        <v>148</v>
      </c>
      <c r="B143" s="2" t="s">
        <v>664</v>
      </c>
      <c r="C143" s="2" t="s">
        <v>656</v>
      </c>
      <c r="D143" s="2" t="s">
        <v>745</v>
      </c>
      <c r="E143" s="2">
        <v>18</v>
      </c>
      <c r="F143" s="2" t="str" cm="1">
        <f t="array" ref="F143">_xlfn.IFS(Table1[[#This Row],[Age]]&lt;=16,"15-16",Table1[[#This Row],[Age]]&lt;19,"17-18")</f>
        <v>17-18</v>
      </c>
      <c r="G143" s="2" t="s">
        <v>757</v>
      </c>
      <c r="H143" s="3">
        <v>0.61</v>
      </c>
      <c r="I143" s="3">
        <v>0.84900000000000009</v>
      </c>
      <c r="J143" s="3" t="str" cm="1">
        <f t="array" ref="J143">_xlfn.IFS(Table1[[#This Row],[Overall Attendance]]&gt;=0.6,"Good",Table1[[#This Row],[Overall Attendance]]&lt;0.6,"Bad")</f>
        <v>Good</v>
      </c>
      <c r="K143" s="4">
        <v>281285</v>
      </c>
      <c r="L143" s="4">
        <f t="shared" si="4"/>
        <v>3375420</v>
      </c>
      <c r="M143" s="4" t="str" cm="1">
        <f t="array" ref="M14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43" s="2">
        <v>11.9</v>
      </c>
      <c r="O143" s="2" t="str" cm="1">
        <f t="array" ref="O143">_xlfn.IFS(Table1[[#This Row],[Distance to School (km)]]&gt;=5,"Far",Table1[[#This Row],[Distance to School (km)]]&lt;5,"Near")</f>
        <v>Far</v>
      </c>
      <c r="P143" s="5">
        <f t="shared" si="5"/>
        <v>0.27049999999999996</v>
      </c>
    </row>
    <row r="144" spans="1:16" ht="15" x14ac:dyDescent="0.25">
      <c r="A144" s="2" t="s">
        <v>149</v>
      </c>
      <c r="B144" s="2" t="s">
        <v>677</v>
      </c>
      <c r="C144" s="2" t="s">
        <v>709</v>
      </c>
      <c r="D144" s="2" t="s">
        <v>740</v>
      </c>
      <c r="E144" s="2">
        <v>18</v>
      </c>
      <c r="F144" s="2" t="str" cm="1">
        <f t="array" ref="F144">_xlfn.IFS(Table1[[#This Row],[Age]]&lt;=16,"15-16",Table1[[#This Row],[Age]]&lt;19,"17-18")</f>
        <v>17-18</v>
      </c>
      <c r="G144" s="2" t="s">
        <v>758</v>
      </c>
      <c r="H144" s="3">
        <v>0.56600000000000006</v>
      </c>
      <c r="I144" s="3">
        <v>0.98</v>
      </c>
      <c r="J144" s="3" t="str" cm="1">
        <f t="array" ref="J144">_xlfn.IFS(Table1[[#This Row],[Overall Attendance]]&gt;=0.6,"Good",Table1[[#This Row],[Overall Attendance]]&lt;0.6,"Bad")</f>
        <v>Good</v>
      </c>
      <c r="K144" s="4">
        <v>21566</v>
      </c>
      <c r="L144" s="4">
        <f t="shared" si="4"/>
        <v>258792</v>
      </c>
      <c r="M144" s="4" t="str" cm="1">
        <f t="array" ref="M14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44" s="2">
        <v>9.6999999999999993</v>
      </c>
      <c r="O144" s="2" t="str" cm="1">
        <f t="array" ref="O144">_xlfn.IFS(Table1[[#This Row],[Distance to School (km)]]&gt;=5,"Far",Table1[[#This Row],[Distance to School (km)]]&lt;5,"Near")</f>
        <v>Far</v>
      </c>
      <c r="P144" s="5">
        <f t="shared" si="5"/>
        <v>0.22699999999999998</v>
      </c>
    </row>
    <row r="145" spans="1:16" ht="15" x14ac:dyDescent="0.25">
      <c r="A145" s="2" t="s">
        <v>150</v>
      </c>
      <c r="B145" s="2" t="s">
        <v>674</v>
      </c>
      <c r="C145" s="2" t="s">
        <v>718</v>
      </c>
      <c r="D145" s="2" t="s">
        <v>755</v>
      </c>
      <c r="E145" s="2">
        <v>18</v>
      </c>
      <c r="F145" s="2" t="str" cm="1">
        <f t="array" ref="F145">_xlfn.IFS(Table1[[#This Row],[Age]]&lt;=16,"15-16",Table1[[#This Row],[Age]]&lt;19,"17-18")</f>
        <v>17-18</v>
      </c>
      <c r="G145" s="2" t="s">
        <v>758</v>
      </c>
      <c r="H145" s="3">
        <v>0.57899999999999996</v>
      </c>
      <c r="I145" s="3">
        <v>0.875</v>
      </c>
      <c r="J145" s="3" t="str" cm="1">
        <f t="array" ref="J145">_xlfn.IFS(Table1[[#This Row],[Overall Attendance]]&gt;=0.6,"Good",Table1[[#This Row],[Overall Attendance]]&lt;0.6,"Bad")</f>
        <v>Good</v>
      </c>
      <c r="K145" s="4">
        <v>148149</v>
      </c>
      <c r="L145" s="4">
        <f t="shared" si="4"/>
        <v>1777788</v>
      </c>
      <c r="M145" s="4" t="str" cm="1">
        <f t="array" ref="M14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45" s="2">
        <v>9.6999999999999993</v>
      </c>
      <c r="O145" s="2" t="str" cm="1">
        <f t="array" ref="O145">_xlfn.IFS(Table1[[#This Row],[Distance to School (km)]]&gt;=5,"Far",Table1[[#This Row],[Distance to School (km)]]&lt;5,"Near")</f>
        <v>Far</v>
      </c>
      <c r="P145" s="5">
        <f t="shared" si="5"/>
        <v>0.27300000000000002</v>
      </c>
    </row>
    <row r="146" spans="1:16" ht="15" x14ac:dyDescent="0.25">
      <c r="A146" s="2" t="s">
        <v>151</v>
      </c>
      <c r="B146" s="2" t="s">
        <v>658</v>
      </c>
      <c r="C146" s="2" t="s">
        <v>729</v>
      </c>
      <c r="D146" s="2" t="s">
        <v>752</v>
      </c>
      <c r="E146" s="2">
        <v>18</v>
      </c>
      <c r="F146" s="2" t="str" cm="1">
        <f t="array" ref="F146">_xlfn.IFS(Table1[[#This Row],[Age]]&lt;=16,"15-16",Table1[[#This Row],[Age]]&lt;19,"17-18")</f>
        <v>17-18</v>
      </c>
      <c r="G146" s="2" t="s">
        <v>757</v>
      </c>
      <c r="H146" s="3">
        <v>0.51900000000000002</v>
      </c>
      <c r="I146" s="3">
        <v>0.79500000000000004</v>
      </c>
      <c r="J146" s="3" t="str" cm="1">
        <f t="array" ref="J146">_xlfn.IFS(Table1[[#This Row],[Overall Attendance]]&gt;=0.6,"Good",Table1[[#This Row],[Overall Attendance]]&lt;0.6,"Bad")</f>
        <v>Good</v>
      </c>
      <c r="K146" s="4">
        <v>186629</v>
      </c>
      <c r="L146" s="4">
        <f t="shared" si="4"/>
        <v>2239548</v>
      </c>
      <c r="M146" s="4" t="str" cm="1">
        <f t="array" ref="M14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46" s="2">
        <v>5.6</v>
      </c>
      <c r="O146" s="2" t="str" cm="1">
        <f t="array" ref="O146">_xlfn.IFS(Table1[[#This Row],[Distance to School (km)]]&gt;=5,"Far",Table1[[#This Row],[Distance to School (km)]]&lt;5,"Near")</f>
        <v>Far</v>
      </c>
      <c r="P146" s="5">
        <f t="shared" si="5"/>
        <v>0.34299999999999997</v>
      </c>
    </row>
    <row r="147" spans="1:16" ht="15" hidden="1" x14ac:dyDescent="0.25">
      <c r="A147" s="2" t="s">
        <v>152</v>
      </c>
      <c r="B147" s="2" t="s">
        <v>674</v>
      </c>
      <c r="C147" s="2" t="s">
        <v>656</v>
      </c>
      <c r="D147" s="2" t="s">
        <v>749</v>
      </c>
      <c r="E147" s="2">
        <v>15</v>
      </c>
      <c r="F147" s="2" t="str" cm="1">
        <f t="array" ref="F147">_xlfn.IFS(Table1[[#This Row],[Age]]&lt;=16,"15-16",Table1[[#This Row],[Age]]&lt;19,"17-18")</f>
        <v>15-16</v>
      </c>
      <c r="G147" s="2" t="s">
        <v>757</v>
      </c>
      <c r="H147" s="3">
        <v>0.43700000000000006</v>
      </c>
      <c r="I147" s="3">
        <v>0.873</v>
      </c>
      <c r="J147" s="3" t="str" cm="1">
        <f t="array" ref="J147">_xlfn.IFS(Table1[[#This Row],[Overall Attendance]]&gt;=0.6,"Good",Table1[[#This Row],[Overall Attendance]]&lt;0.6,"Bad")</f>
        <v>Good</v>
      </c>
      <c r="K147" s="4">
        <v>180590</v>
      </c>
      <c r="L147" s="4">
        <f t="shared" si="4"/>
        <v>2167080</v>
      </c>
      <c r="M147" s="4" t="str" cm="1">
        <f t="array" ref="M14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47" s="2">
        <v>7.9</v>
      </c>
      <c r="O147" s="2" t="str" cm="1">
        <f t="array" ref="O147">_xlfn.IFS(Table1[[#This Row],[Distance to School (km)]]&gt;=5,"Far",Table1[[#This Row],[Distance to School (km)]]&lt;5,"Near")</f>
        <v>Far</v>
      </c>
      <c r="P147" s="5">
        <f t="shared" si="5"/>
        <v>0.34499999999999997</v>
      </c>
    </row>
    <row r="148" spans="1:16" ht="15" hidden="1" x14ac:dyDescent="0.25">
      <c r="A148" s="2" t="s">
        <v>153</v>
      </c>
      <c r="B148" s="2" t="s">
        <v>653</v>
      </c>
      <c r="C148" s="2" t="s">
        <v>672</v>
      </c>
      <c r="D148" s="2" t="s">
        <v>755</v>
      </c>
      <c r="E148" s="2">
        <v>15</v>
      </c>
      <c r="F148" s="2" t="str" cm="1">
        <f t="array" ref="F148">_xlfn.IFS(Table1[[#This Row],[Age]]&lt;=16,"15-16",Table1[[#This Row],[Age]]&lt;19,"17-18")</f>
        <v>15-16</v>
      </c>
      <c r="G148" s="2" t="s">
        <v>757</v>
      </c>
      <c r="H148" s="3">
        <v>0.47899999999999998</v>
      </c>
      <c r="I148" s="3">
        <v>0.95599999999999996</v>
      </c>
      <c r="J148" s="3" t="str" cm="1">
        <f t="array" ref="J148">_xlfn.IFS(Table1[[#This Row],[Overall Attendance]]&gt;=0.6,"Good",Table1[[#This Row],[Overall Attendance]]&lt;0.6,"Bad")</f>
        <v>Good</v>
      </c>
      <c r="K148" s="4">
        <v>237429</v>
      </c>
      <c r="L148" s="4">
        <f t="shared" si="4"/>
        <v>2849148</v>
      </c>
      <c r="M148" s="4" t="str" cm="1">
        <f t="array" ref="M14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48" s="2">
        <v>0.9</v>
      </c>
      <c r="O148" s="2" t="str" cm="1">
        <f t="array" ref="O148">_xlfn.IFS(Table1[[#This Row],[Distance to School (km)]]&gt;=5,"Far",Table1[[#This Row],[Distance to School (km)]]&lt;5,"Near")</f>
        <v>Near</v>
      </c>
      <c r="P148" s="5">
        <f t="shared" si="5"/>
        <v>0.28249999999999997</v>
      </c>
    </row>
    <row r="149" spans="1:16" ht="15" x14ac:dyDescent="0.25">
      <c r="A149" s="2" t="s">
        <v>154</v>
      </c>
      <c r="B149" s="2" t="s">
        <v>677</v>
      </c>
      <c r="C149" s="2" t="s">
        <v>687</v>
      </c>
      <c r="D149" s="2" t="s">
        <v>749</v>
      </c>
      <c r="E149" s="2">
        <v>17</v>
      </c>
      <c r="F149" s="2" t="str" cm="1">
        <f t="array" ref="F149">_xlfn.IFS(Table1[[#This Row],[Age]]&lt;=16,"15-16",Table1[[#This Row],[Age]]&lt;19,"17-18")</f>
        <v>17-18</v>
      </c>
      <c r="G149" s="2" t="s">
        <v>757</v>
      </c>
      <c r="H149" s="3">
        <v>0.43</v>
      </c>
      <c r="I149" s="3">
        <v>0.98</v>
      </c>
      <c r="J149" s="3" t="str" cm="1">
        <f t="array" ref="J149">_xlfn.IFS(Table1[[#This Row],[Overall Attendance]]&gt;=0.6,"Good",Table1[[#This Row],[Overall Attendance]]&lt;0.6,"Bad")</f>
        <v>Good</v>
      </c>
      <c r="K149" s="4">
        <v>378013</v>
      </c>
      <c r="L149" s="4">
        <f t="shared" si="4"/>
        <v>4536156</v>
      </c>
      <c r="M149" s="4" t="str" cm="1">
        <f t="array" ref="M14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49" s="2">
        <v>11.4</v>
      </c>
      <c r="O149" s="2" t="str" cm="1">
        <f t="array" ref="O149">_xlfn.IFS(Table1[[#This Row],[Distance to School (km)]]&gt;=5,"Far",Table1[[#This Row],[Distance to School (km)]]&lt;5,"Near")</f>
        <v>Far</v>
      </c>
      <c r="P149" s="5">
        <f t="shared" si="5"/>
        <v>0.29500000000000004</v>
      </c>
    </row>
    <row r="150" spans="1:16" ht="15" hidden="1" x14ac:dyDescent="0.25">
      <c r="A150" s="2" t="s">
        <v>155</v>
      </c>
      <c r="B150" s="2" t="s">
        <v>679</v>
      </c>
      <c r="C150" s="2" t="s">
        <v>714</v>
      </c>
      <c r="D150" s="2" t="s">
        <v>747</v>
      </c>
      <c r="E150" s="2">
        <v>16</v>
      </c>
      <c r="F150" s="2" t="str" cm="1">
        <f t="array" ref="F150">_xlfn.IFS(Table1[[#This Row],[Age]]&lt;=16,"15-16",Table1[[#This Row],[Age]]&lt;19,"17-18")</f>
        <v>15-16</v>
      </c>
      <c r="G150" s="2" t="s">
        <v>758</v>
      </c>
      <c r="H150" s="3">
        <v>0.69400000000000006</v>
      </c>
      <c r="I150" s="3">
        <v>0.89300000000000002</v>
      </c>
      <c r="J150" s="3" t="str" cm="1">
        <f t="array" ref="J150">_xlfn.IFS(Table1[[#This Row],[Overall Attendance]]&gt;=0.6,"Good",Table1[[#This Row],[Overall Attendance]]&lt;0.6,"Bad")</f>
        <v>Good</v>
      </c>
      <c r="K150" s="4">
        <v>30301</v>
      </c>
      <c r="L150" s="4">
        <f t="shared" si="4"/>
        <v>363612</v>
      </c>
      <c r="M150" s="4" t="str" cm="1">
        <f t="array" ref="M15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50" s="2">
        <v>0.8</v>
      </c>
      <c r="O150" s="2" t="str" cm="1">
        <f t="array" ref="O150">_xlfn.IFS(Table1[[#This Row],[Distance to School (km)]]&gt;=5,"Far",Table1[[#This Row],[Distance to School (km)]]&lt;5,"Near")</f>
        <v>Near</v>
      </c>
      <c r="P150" s="5">
        <f t="shared" si="5"/>
        <v>0.20649999999999991</v>
      </c>
    </row>
    <row r="151" spans="1:16" ht="15" x14ac:dyDescent="0.25">
      <c r="A151" s="2" t="s">
        <v>156</v>
      </c>
      <c r="B151" s="2" t="s">
        <v>647</v>
      </c>
      <c r="C151" s="2" t="s">
        <v>721</v>
      </c>
      <c r="D151" s="2" t="s">
        <v>712</v>
      </c>
      <c r="E151" s="2">
        <v>18</v>
      </c>
      <c r="F151" s="2" t="str" cm="1">
        <f t="array" ref="F151">_xlfn.IFS(Table1[[#This Row],[Age]]&lt;=16,"15-16",Table1[[#This Row],[Age]]&lt;19,"17-18")</f>
        <v>17-18</v>
      </c>
      <c r="G151" s="2" t="s">
        <v>758</v>
      </c>
      <c r="H151" s="3">
        <v>0.77300000000000002</v>
      </c>
      <c r="I151" s="3">
        <v>0.93599999999999994</v>
      </c>
      <c r="J151" s="3" t="str" cm="1">
        <f t="array" ref="J151">_xlfn.IFS(Table1[[#This Row],[Overall Attendance]]&gt;=0.6,"Good",Table1[[#This Row],[Overall Attendance]]&lt;0.6,"Bad")</f>
        <v>Good</v>
      </c>
      <c r="K151" s="4">
        <v>128125</v>
      </c>
      <c r="L151" s="4">
        <f t="shared" si="4"/>
        <v>1537500</v>
      </c>
      <c r="M151" s="4" t="str" cm="1">
        <f t="array" ref="M15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51" s="2">
        <v>8.5</v>
      </c>
      <c r="O151" s="2" t="str" cm="1">
        <f t="array" ref="O151">_xlfn.IFS(Table1[[#This Row],[Distance to School (km)]]&gt;=5,"Far",Table1[[#This Row],[Distance to School (km)]]&lt;5,"Near")</f>
        <v>Far</v>
      </c>
      <c r="P151" s="5">
        <f t="shared" si="5"/>
        <v>0.14549999999999996</v>
      </c>
    </row>
    <row r="152" spans="1:16" ht="15" x14ac:dyDescent="0.25">
      <c r="A152" s="2" t="s">
        <v>157</v>
      </c>
      <c r="B152" s="2" t="s">
        <v>648</v>
      </c>
      <c r="C152" s="2" t="s">
        <v>731</v>
      </c>
      <c r="D152" s="2" t="s">
        <v>742</v>
      </c>
      <c r="E152" s="2">
        <v>17</v>
      </c>
      <c r="F152" s="2" t="str" cm="1">
        <f t="array" ref="F152">_xlfn.IFS(Table1[[#This Row],[Age]]&lt;=16,"15-16",Table1[[#This Row],[Age]]&lt;19,"17-18")</f>
        <v>17-18</v>
      </c>
      <c r="G152" s="2" t="s">
        <v>757</v>
      </c>
      <c r="H152" s="3">
        <v>0.375</v>
      </c>
      <c r="I152" s="3">
        <v>0.88400000000000001</v>
      </c>
      <c r="J152" s="3" t="str" cm="1">
        <f t="array" ref="J152">_xlfn.IFS(Table1[[#This Row],[Overall Attendance]]&gt;=0.6,"Good",Table1[[#This Row],[Overall Attendance]]&lt;0.6,"Bad")</f>
        <v>Good</v>
      </c>
      <c r="K152" s="4">
        <v>189382</v>
      </c>
      <c r="L152" s="4">
        <f t="shared" si="4"/>
        <v>2272584</v>
      </c>
      <c r="M152" s="4" t="str" cm="1">
        <f t="array" ref="M15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52" s="2">
        <v>8.6999999999999993</v>
      </c>
      <c r="O152" s="2" t="str" cm="1">
        <f t="array" ref="O152">_xlfn.IFS(Table1[[#This Row],[Distance to School (km)]]&gt;=5,"Far",Table1[[#This Row],[Distance to School (km)]]&lt;5,"Near")</f>
        <v>Far</v>
      </c>
      <c r="P152" s="5">
        <f t="shared" si="5"/>
        <v>0.37050000000000005</v>
      </c>
    </row>
    <row r="153" spans="1:16" ht="15" hidden="1" x14ac:dyDescent="0.25">
      <c r="A153" s="2" t="s">
        <v>158</v>
      </c>
      <c r="B153" s="2" t="s">
        <v>643</v>
      </c>
      <c r="C153" s="2" t="s">
        <v>716</v>
      </c>
      <c r="D153" s="2" t="s">
        <v>646</v>
      </c>
      <c r="E153" s="2">
        <v>16</v>
      </c>
      <c r="F153" s="2" t="str" cm="1">
        <f t="array" ref="F153">_xlfn.IFS(Table1[[#This Row],[Age]]&lt;=16,"15-16",Table1[[#This Row],[Age]]&lt;19,"17-18")</f>
        <v>15-16</v>
      </c>
      <c r="G153" s="2" t="s">
        <v>758</v>
      </c>
      <c r="H153" s="3">
        <v>0.57299999999999995</v>
      </c>
      <c r="I153" s="3">
        <v>0.67</v>
      </c>
      <c r="J153" s="3" t="str" cm="1">
        <f t="array" ref="J153">_xlfn.IFS(Table1[[#This Row],[Overall Attendance]]&gt;=0.6,"Good",Table1[[#This Row],[Overall Attendance]]&lt;0.6,"Bad")</f>
        <v>Good</v>
      </c>
      <c r="K153" s="4">
        <v>25704</v>
      </c>
      <c r="L153" s="4">
        <f t="shared" si="4"/>
        <v>308448</v>
      </c>
      <c r="M153" s="4" t="str" cm="1">
        <f t="array" ref="M15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53" s="2">
        <v>11.8</v>
      </c>
      <c r="O153" s="2" t="str" cm="1">
        <f t="array" ref="O153">_xlfn.IFS(Table1[[#This Row],[Distance to School (km)]]&gt;=5,"Far",Table1[[#This Row],[Distance to School (km)]]&lt;5,"Near")</f>
        <v>Far</v>
      </c>
      <c r="P153" s="5">
        <f t="shared" si="5"/>
        <v>0.37850000000000006</v>
      </c>
    </row>
    <row r="154" spans="1:16" ht="15" x14ac:dyDescent="0.25">
      <c r="A154" s="2" t="s">
        <v>159</v>
      </c>
      <c r="B154" s="2" t="s">
        <v>672</v>
      </c>
      <c r="C154" s="2" t="s">
        <v>732</v>
      </c>
      <c r="D154" s="2" t="s">
        <v>746</v>
      </c>
      <c r="E154" s="2">
        <v>18</v>
      </c>
      <c r="F154" s="2" t="str" cm="1">
        <f t="array" ref="F154">_xlfn.IFS(Table1[[#This Row],[Age]]&lt;=16,"15-16",Table1[[#This Row],[Age]]&lt;19,"17-18")</f>
        <v>17-18</v>
      </c>
      <c r="G154" s="2" t="s">
        <v>757</v>
      </c>
      <c r="H154" s="3">
        <v>0.52</v>
      </c>
      <c r="I154" s="3">
        <v>0.92</v>
      </c>
      <c r="J154" s="3" t="str" cm="1">
        <f t="array" ref="J154">_xlfn.IFS(Table1[[#This Row],[Overall Attendance]]&gt;=0.6,"Good",Table1[[#This Row],[Overall Attendance]]&lt;0.6,"Bad")</f>
        <v>Good</v>
      </c>
      <c r="K154" s="4">
        <v>35315</v>
      </c>
      <c r="L154" s="4">
        <f t="shared" si="4"/>
        <v>423780</v>
      </c>
      <c r="M154" s="4" t="str" cm="1">
        <f t="array" ref="M15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54" s="2">
        <v>1.3</v>
      </c>
      <c r="O154" s="2" t="str" cm="1">
        <f t="array" ref="O154">_xlfn.IFS(Table1[[#This Row],[Distance to School (km)]]&gt;=5,"Far",Table1[[#This Row],[Distance to School (km)]]&lt;5,"Near")</f>
        <v>Near</v>
      </c>
      <c r="P154" s="5">
        <f t="shared" si="5"/>
        <v>0.28000000000000003</v>
      </c>
    </row>
    <row r="155" spans="1:16" ht="15" x14ac:dyDescent="0.25">
      <c r="A155" s="2" t="s">
        <v>160</v>
      </c>
      <c r="B155" s="2" t="s">
        <v>654</v>
      </c>
      <c r="C155" s="2" t="s">
        <v>721</v>
      </c>
      <c r="D155" s="2" t="s">
        <v>739</v>
      </c>
      <c r="E155" s="2">
        <v>17</v>
      </c>
      <c r="F155" s="2" t="str" cm="1">
        <f t="array" ref="F155">_xlfn.IFS(Table1[[#This Row],[Age]]&lt;=16,"15-16",Table1[[#This Row],[Age]]&lt;19,"17-18")</f>
        <v>17-18</v>
      </c>
      <c r="G155" s="2" t="s">
        <v>758</v>
      </c>
      <c r="H155" s="3">
        <v>0.48799999999999999</v>
      </c>
      <c r="I155" s="3">
        <v>0.89</v>
      </c>
      <c r="J155" s="3" t="str" cm="1">
        <f t="array" ref="J155">_xlfn.IFS(Table1[[#This Row],[Overall Attendance]]&gt;=0.6,"Good",Table1[[#This Row],[Overall Attendance]]&lt;0.6,"Bad")</f>
        <v>Good</v>
      </c>
      <c r="K155" s="4">
        <v>219442</v>
      </c>
      <c r="L155" s="4">
        <f t="shared" si="4"/>
        <v>2633304</v>
      </c>
      <c r="M155" s="4" t="str" cm="1">
        <f t="array" ref="M15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55" s="2">
        <v>5.9</v>
      </c>
      <c r="O155" s="2" t="str" cm="1">
        <f t="array" ref="O155">_xlfn.IFS(Table1[[#This Row],[Distance to School (km)]]&gt;=5,"Far",Table1[[#This Row],[Distance to School (km)]]&lt;5,"Near")</f>
        <v>Far</v>
      </c>
      <c r="P155" s="5">
        <f t="shared" si="5"/>
        <v>0.31099999999999994</v>
      </c>
    </row>
    <row r="156" spans="1:16" ht="15" x14ac:dyDescent="0.25">
      <c r="A156" s="2" t="s">
        <v>161</v>
      </c>
      <c r="B156" s="2" t="s">
        <v>669</v>
      </c>
      <c r="C156" s="2" t="s">
        <v>727</v>
      </c>
      <c r="D156" s="2" t="s">
        <v>641</v>
      </c>
      <c r="E156" s="2">
        <v>17</v>
      </c>
      <c r="F156" s="2" t="str" cm="1">
        <f t="array" ref="F156">_xlfn.IFS(Table1[[#This Row],[Age]]&lt;=16,"15-16",Table1[[#This Row],[Age]]&lt;19,"17-18")</f>
        <v>17-18</v>
      </c>
      <c r="G156" s="2" t="s">
        <v>757</v>
      </c>
      <c r="H156" s="3">
        <v>0.44500000000000001</v>
      </c>
      <c r="I156" s="3">
        <v>0.73</v>
      </c>
      <c r="J156" s="3" t="str" cm="1">
        <f t="array" ref="J156">_xlfn.IFS(Table1[[#This Row],[Overall Attendance]]&gt;=0.6,"Good",Table1[[#This Row],[Overall Attendance]]&lt;0.6,"Bad")</f>
        <v>Good</v>
      </c>
      <c r="K156" s="4">
        <v>24228</v>
      </c>
      <c r="L156" s="4">
        <f t="shared" si="4"/>
        <v>290736</v>
      </c>
      <c r="M156" s="4" t="str" cm="1">
        <f t="array" ref="M15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56" s="2">
        <v>6.5</v>
      </c>
      <c r="O156" s="2" t="str" cm="1">
        <f t="array" ref="O156">_xlfn.IFS(Table1[[#This Row],[Distance to School (km)]]&gt;=5,"Far",Table1[[#This Row],[Distance to School (km)]]&lt;5,"Near")</f>
        <v>Far</v>
      </c>
      <c r="P156" s="5">
        <f t="shared" si="5"/>
        <v>0.41249999999999998</v>
      </c>
    </row>
    <row r="157" spans="1:16" ht="15" x14ac:dyDescent="0.25">
      <c r="A157" s="2" t="s">
        <v>162</v>
      </c>
      <c r="B157" s="2" t="s">
        <v>667</v>
      </c>
      <c r="C157" s="2" t="s">
        <v>701</v>
      </c>
      <c r="D157" s="2" t="s">
        <v>646</v>
      </c>
      <c r="E157" s="2">
        <v>17</v>
      </c>
      <c r="F157" s="2" t="str" cm="1">
        <f t="array" ref="F157">_xlfn.IFS(Table1[[#This Row],[Age]]&lt;=16,"15-16",Table1[[#This Row],[Age]]&lt;19,"17-18")</f>
        <v>17-18</v>
      </c>
      <c r="G157" s="2" t="s">
        <v>757</v>
      </c>
      <c r="H157" s="3">
        <v>0.66500000000000004</v>
      </c>
      <c r="I157" s="3">
        <v>0.98</v>
      </c>
      <c r="J157" s="3" t="str" cm="1">
        <f t="array" ref="J157">_xlfn.IFS(Table1[[#This Row],[Overall Attendance]]&gt;=0.6,"Good",Table1[[#This Row],[Overall Attendance]]&lt;0.6,"Bad")</f>
        <v>Good</v>
      </c>
      <c r="K157" s="4">
        <v>68616</v>
      </c>
      <c r="L157" s="4">
        <f t="shared" si="4"/>
        <v>823392</v>
      </c>
      <c r="M157" s="4" t="str" cm="1">
        <f t="array" ref="M15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57" s="2">
        <v>7.8</v>
      </c>
      <c r="O157" s="2" t="str" cm="1">
        <f t="array" ref="O157">_xlfn.IFS(Table1[[#This Row],[Distance to School (km)]]&gt;=5,"Far",Table1[[#This Row],[Distance to School (km)]]&lt;5,"Near")</f>
        <v>Far</v>
      </c>
      <c r="P157" s="5">
        <f t="shared" si="5"/>
        <v>0.17749999999999999</v>
      </c>
    </row>
    <row r="158" spans="1:16" ht="15" x14ac:dyDescent="0.25">
      <c r="A158" s="2" t="s">
        <v>163</v>
      </c>
      <c r="B158" s="2" t="s">
        <v>676</v>
      </c>
      <c r="C158" s="2" t="s">
        <v>700</v>
      </c>
      <c r="D158" s="2" t="s">
        <v>737</v>
      </c>
      <c r="E158" s="2">
        <v>17</v>
      </c>
      <c r="F158" s="2" t="str" cm="1">
        <f t="array" ref="F158">_xlfn.IFS(Table1[[#This Row],[Age]]&lt;=16,"15-16",Table1[[#This Row],[Age]]&lt;19,"17-18")</f>
        <v>17-18</v>
      </c>
      <c r="G158" s="2" t="s">
        <v>757</v>
      </c>
      <c r="H158" s="3">
        <v>0.48100000000000004</v>
      </c>
      <c r="I158" s="3">
        <v>0.79500000000000004</v>
      </c>
      <c r="J158" s="3" t="str" cm="1">
        <f t="array" ref="J158">_xlfn.IFS(Table1[[#This Row],[Overall Attendance]]&gt;=0.6,"Good",Table1[[#This Row],[Overall Attendance]]&lt;0.6,"Bad")</f>
        <v>Good</v>
      </c>
      <c r="K158" s="4">
        <v>88785</v>
      </c>
      <c r="L158" s="4">
        <f t="shared" si="4"/>
        <v>1065420</v>
      </c>
      <c r="M158" s="4" t="str" cm="1">
        <f t="array" ref="M15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58" s="2">
        <v>8.1</v>
      </c>
      <c r="O158" s="2" t="str" cm="1">
        <f t="array" ref="O158">_xlfn.IFS(Table1[[#This Row],[Distance to School (km)]]&gt;=5,"Far",Table1[[#This Row],[Distance to School (km)]]&lt;5,"Near")</f>
        <v>Far</v>
      </c>
      <c r="P158" s="5">
        <f t="shared" si="5"/>
        <v>0.36199999999999999</v>
      </c>
    </row>
    <row r="159" spans="1:16" ht="15" hidden="1" x14ac:dyDescent="0.25">
      <c r="A159" s="2" t="s">
        <v>164</v>
      </c>
      <c r="B159" s="2" t="s">
        <v>671</v>
      </c>
      <c r="C159" s="2" t="s">
        <v>708</v>
      </c>
      <c r="D159" s="2" t="s">
        <v>742</v>
      </c>
      <c r="E159" s="2">
        <v>15</v>
      </c>
      <c r="F159" s="2" t="str" cm="1">
        <f t="array" ref="F159">_xlfn.IFS(Table1[[#This Row],[Age]]&lt;=16,"15-16",Table1[[#This Row],[Age]]&lt;19,"17-18")</f>
        <v>15-16</v>
      </c>
      <c r="G159" s="2" t="s">
        <v>757</v>
      </c>
      <c r="H159" s="3">
        <v>0.78500000000000003</v>
      </c>
      <c r="I159" s="3">
        <v>0.86</v>
      </c>
      <c r="J159" s="3" t="str" cm="1">
        <f t="array" ref="J159">_xlfn.IFS(Table1[[#This Row],[Overall Attendance]]&gt;=0.6,"Good",Table1[[#This Row],[Overall Attendance]]&lt;0.6,"Bad")</f>
        <v>Good</v>
      </c>
      <c r="K159" s="4">
        <v>255263</v>
      </c>
      <c r="L159" s="4">
        <f t="shared" si="4"/>
        <v>3063156</v>
      </c>
      <c r="M159" s="4" t="str" cm="1">
        <f t="array" ref="M15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59" s="2">
        <v>7.6</v>
      </c>
      <c r="O159" s="2" t="str" cm="1">
        <f t="array" ref="O159">_xlfn.IFS(Table1[[#This Row],[Distance to School (km)]]&gt;=5,"Far",Table1[[#This Row],[Distance to School (km)]]&lt;5,"Near")</f>
        <v>Far</v>
      </c>
      <c r="P159" s="5">
        <f t="shared" si="5"/>
        <v>0.17749999999999999</v>
      </c>
    </row>
    <row r="160" spans="1:16" ht="15" hidden="1" x14ac:dyDescent="0.25">
      <c r="A160" s="2" t="s">
        <v>165</v>
      </c>
      <c r="B160" s="2" t="s">
        <v>656</v>
      </c>
      <c r="C160" s="2" t="s">
        <v>712</v>
      </c>
      <c r="D160" s="2" t="s">
        <v>748</v>
      </c>
      <c r="E160" s="2">
        <v>15</v>
      </c>
      <c r="F160" s="2" t="str" cm="1">
        <f t="array" ref="F160">_xlfn.IFS(Table1[[#This Row],[Age]]&lt;=16,"15-16",Table1[[#This Row],[Age]]&lt;19,"17-18")</f>
        <v>15-16</v>
      </c>
      <c r="G160" s="2" t="s">
        <v>758</v>
      </c>
      <c r="H160" s="3">
        <v>0.55600000000000005</v>
      </c>
      <c r="I160" s="3">
        <v>0.754</v>
      </c>
      <c r="J160" s="3" t="str" cm="1">
        <f t="array" ref="J160">_xlfn.IFS(Table1[[#This Row],[Overall Attendance]]&gt;=0.6,"Good",Table1[[#This Row],[Overall Attendance]]&lt;0.6,"Bad")</f>
        <v>Good</v>
      </c>
      <c r="K160" s="4">
        <v>277971</v>
      </c>
      <c r="L160" s="4">
        <f t="shared" si="4"/>
        <v>3335652</v>
      </c>
      <c r="M160" s="4" t="str" cm="1">
        <f t="array" ref="M16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60" s="2">
        <v>1.3</v>
      </c>
      <c r="O160" s="2" t="str" cm="1">
        <f t="array" ref="O160">_xlfn.IFS(Table1[[#This Row],[Distance to School (km)]]&gt;=5,"Far",Table1[[#This Row],[Distance to School (km)]]&lt;5,"Near")</f>
        <v>Near</v>
      </c>
      <c r="P160" s="5">
        <f t="shared" si="5"/>
        <v>0.34499999999999997</v>
      </c>
    </row>
    <row r="161" spans="1:16" ht="15" hidden="1" x14ac:dyDescent="0.25">
      <c r="A161" s="2" t="s">
        <v>166</v>
      </c>
      <c r="B161" s="2" t="s">
        <v>654</v>
      </c>
      <c r="C161" s="2" t="s">
        <v>690</v>
      </c>
      <c r="D161" s="2" t="s">
        <v>753</v>
      </c>
      <c r="E161" s="2">
        <v>16</v>
      </c>
      <c r="F161" s="2" t="str" cm="1">
        <f t="array" ref="F161">_xlfn.IFS(Table1[[#This Row],[Age]]&lt;=16,"15-16",Table1[[#This Row],[Age]]&lt;19,"17-18")</f>
        <v>15-16</v>
      </c>
      <c r="G161" s="2" t="s">
        <v>757</v>
      </c>
      <c r="H161" s="3">
        <v>0.51300000000000001</v>
      </c>
      <c r="I161" s="3">
        <v>0.84</v>
      </c>
      <c r="J161" s="3" t="str" cm="1">
        <f t="array" ref="J161">_xlfn.IFS(Table1[[#This Row],[Overall Attendance]]&gt;=0.6,"Good",Table1[[#This Row],[Overall Attendance]]&lt;0.6,"Bad")</f>
        <v>Good</v>
      </c>
      <c r="K161" s="4">
        <v>194158</v>
      </c>
      <c r="L161" s="4">
        <f t="shared" si="4"/>
        <v>2329896</v>
      </c>
      <c r="M161" s="4" t="str" cm="1">
        <f t="array" ref="M16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61" s="2">
        <v>11.7</v>
      </c>
      <c r="O161" s="2" t="str" cm="1">
        <f t="array" ref="O161">_xlfn.IFS(Table1[[#This Row],[Distance to School (km)]]&gt;=5,"Far",Table1[[#This Row],[Distance to School (km)]]&lt;5,"Near")</f>
        <v>Far</v>
      </c>
      <c r="P161" s="5">
        <f t="shared" si="5"/>
        <v>0.32350000000000001</v>
      </c>
    </row>
    <row r="162" spans="1:16" ht="15" x14ac:dyDescent="0.25">
      <c r="A162" s="2" t="s">
        <v>167</v>
      </c>
      <c r="B162" s="2" t="s">
        <v>669</v>
      </c>
      <c r="C162" s="2" t="s">
        <v>721</v>
      </c>
      <c r="D162" s="2" t="s">
        <v>743</v>
      </c>
      <c r="E162" s="2">
        <v>18</v>
      </c>
      <c r="F162" s="2" t="str" cm="1">
        <f t="array" ref="F162">_xlfn.IFS(Table1[[#This Row],[Age]]&lt;=16,"15-16",Table1[[#This Row],[Age]]&lt;19,"17-18")</f>
        <v>17-18</v>
      </c>
      <c r="G162" s="2" t="s">
        <v>758</v>
      </c>
      <c r="H162" s="3">
        <v>0.56299999999999994</v>
      </c>
      <c r="I162" s="3">
        <v>0.92200000000000004</v>
      </c>
      <c r="J162" s="3" t="str" cm="1">
        <f t="array" ref="J162">_xlfn.IFS(Table1[[#This Row],[Overall Attendance]]&gt;=0.6,"Good",Table1[[#This Row],[Overall Attendance]]&lt;0.6,"Bad")</f>
        <v>Good</v>
      </c>
      <c r="K162" s="4">
        <v>28764</v>
      </c>
      <c r="L162" s="4">
        <f t="shared" si="4"/>
        <v>345168</v>
      </c>
      <c r="M162" s="4" t="str" cm="1">
        <f t="array" ref="M16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62" s="2">
        <v>1.1000000000000001</v>
      </c>
      <c r="O162" s="2" t="str" cm="1">
        <f t="array" ref="O162">_xlfn.IFS(Table1[[#This Row],[Distance to School (km)]]&gt;=5,"Far",Table1[[#This Row],[Distance to School (km)]]&lt;5,"Near")</f>
        <v>Near</v>
      </c>
      <c r="P162" s="5">
        <f t="shared" si="5"/>
        <v>0.25750000000000006</v>
      </c>
    </row>
    <row r="163" spans="1:16" ht="15" x14ac:dyDescent="0.25">
      <c r="A163" s="2" t="s">
        <v>168</v>
      </c>
      <c r="B163" s="2" t="s">
        <v>643</v>
      </c>
      <c r="C163" s="2" t="s">
        <v>696</v>
      </c>
      <c r="D163" s="2" t="s">
        <v>754</v>
      </c>
      <c r="E163" s="2">
        <v>17</v>
      </c>
      <c r="F163" s="2" t="str" cm="1">
        <f t="array" ref="F163">_xlfn.IFS(Table1[[#This Row],[Age]]&lt;=16,"15-16",Table1[[#This Row],[Age]]&lt;19,"17-18")</f>
        <v>17-18</v>
      </c>
      <c r="G163" s="2" t="s">
        <v>758</v>
      </c>
      <c r="H163" s="3">
        <v>0.79500000000000004</v>
      </c>
      <c r="I163" s="3">
        <v>0.755</v>
      </c>
      <c r="J163" s="3" t="str" cm="1">
        <f t="array" ref="J163">_xlfn.IFS(Table1[[#This Row],[Overall Attendance]]&gt;=0.6,"Good",Table1[[#This Row],[Overall Attendance]]&lt;0.6,"Bad")</f>
        <v>Good</v>
      </c>
      <c r="K163" s="4">
        <v>334933</v>
      </c>
      <c r="L163" s="4">
        <f t="shared" si="4"/>
        <v>4019196</v>
      </c>
      <c r="M163" s="4" t="str" cm="1">
        <f t="array" ref="M16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63" s="2">
        <v>6.2</v>
      </c>
      <c r="O163" s="2" t="str" cm="1">
        <f t="array" ref="O163">_xlfn.IFS(Table1[[#This Row],[Distance to School (km)]]&gt;=5,"Far",Table1[[#This Row],[Distance to School (km)]]&lt;5,"Near")</f>
        <v>Far</v>
      </c>
      <c r="P163" s="5">
        <f t="shared" si="5"/>
        <v>0.22499999999999998</v>
      </c>
    </row>
    <row r="164" spans="1:16" ht="15" x14ac:dyDescent="0.25">
      <c r="A164" s="2" t="s">
        <v>169</v>
      </c>
      <c r="B164" s="2" t="s">
        <v>670</v>
      </c>
      <c r="C164" s="2" t="s">
        <v>725</v>
      </c>
      <c r="D164" s="2" t="s">
        <v>755</v>
      </c>
      <c r="E164" s="2">
        <v>18</v>
      </c>
      <c r="F164" s="2" t="str" cm="1">
        <f t="array" ref="F164">_xlfn.IFS(Table1[[#This Row],[Age]]&lt;=16,"15-16",Table1[[#This Row],[Age]]&lt;19,"17-18")</f>
        <v>17-18</v>
      </c>
      <c r="G164" s="2" t="s">
        <v>758</v>
      </c>
      <c r="H164" s="3">
        <v>0.35</v>
      </c>
      <c r="I164" s="3">
        <v>0.81099999999999994</v>
      </c>
      <c r="J164" s="3" t="str" cm="1">
        <f t="array" ref="J164">_xlfn.IFS(Table1[[#This Row],[Overall Attendance]]&gt;=0.6,"Good",Table1[[#This Row],[Overall Attendance]]&lt;0.6,"Bad")</f>
        <v>Good</v>
      </c>
      <c r="K164" s="4">
        <v>27049</v>
      </c>
      <c r="L164" s="4">
        <f t="shared" si="4"/>
        <v>324588</v>
      </c>
      <c r="M164" s="4" t="str" cm="1">
        <f t="array" ref="M16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64" s="2">
        <v>3.7</v>
      </c>
      <c r="O164" s="2" t="str" cm="1">
        <f t="array" ref="O164">_xlfn.IFS(Table1[[#This Row],[Distance to School (km)]]&gt;=5,"Far",Table1[[#This Row],[Distance to School (km)]]&lt;5,"Near")</f>
        <v>Near</v>
      </c>
      <c r="P164" s="5">
        <f t="shared" si="5"/>
        <v>0.41949999999999998</v>
      </c>
    </row>
    <row r="165" spans="1:16" ht="15" hidden="1" x14ac:dyDescent="0.25">
      <c r="A165" s="2" t="s">
        <v>170</v>
      </c>
      <c r="B165" s="2" t="s">
        <v>650</v>
      </c>
      <c r="C165" s="2" t="s">
        <v>694</v>
      </c>
      <c r="D165" s="2" t="s">
        <v>743</v>
      </c>
      <c r="E165" s="2">
        <v>16</v>
      </c>
      <c r="F165" s="2" t="str" cm="1">
        <f t="array" ref="F165">_xlfn.IFS(Table1[[#This Row],[Age]]&lt;=16,"15-16",Table1[[#This Row],[Age]]&lt;19,"17-18")</f>
        <v>15-16</v>
      </c>
      <c r="G165" s="2" t="s">
        <v>758</v>
      </c>
      <c r="H165" s="3">
        <v>0.39500000000000002</v>
      </c>
      <c r="I165" s="3">
        <v>0.90700000000000003</v>
      </c>
      <c r="J165" s="3" t="str" cm="1">
        <f t="array" ref="J165">_xlfn.IFS(Table1[[#This Row],[Overall Attendance]]&gt;=0.6,"Good",Table1[[#This Row],[Overall Attendance]]&lt;0.6,"Bad")</f>
        <v>Good</v>
      </c>
      <c r="K165" s="4">
        <v>43838</v>
      </c>
      <c r="L165" s="4">
        <f t="shared" si="4"/>
        <v>526056</v>
      </c>
      <c r="M165" s="4" t="str" cm="1">
        <f t="array" ref="M16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65" s="2">
        <v>5.0999999999999996</v>
      </c>
      <c r="O165" s="2" t="str" cm="1">
        <f t="array" ref="O165">_xlfn.IFS(Table1[[#This Row],[Distance to School (km)]]&gt;=5,"Far",Table1[[#This Row],[Distance to School (km)]]&lt;5,"Near")</f>
        <v>Far</v>
      </c>
      <c r="P165" s="5">
        <f t="shared" si="5"/>
        <v>0.34899999999999998</v>
      </c>
    </row>
    <row r="166" spans="1:16" ht="15" hidden="1" x14ac:dyDescent="0.25">
      <c r="A166" s="2" t="s">
        <v>171</v>
      </c>
      <c r="B166" s="2" t="s">
        <v>683</v>
      </c>
      <c r="C166" s="2" t="s">
        <v>694</v>
      </c>
      <c r="D166" s="2" t="s">
        <v>742</v>
      </c>
      <c r="E166" s="2">
        <v>15</v>
      </c>
      <c r="F166" s="2" t="str" cm="1">
        <f t="array" ref="F166">_xlfn.IFS(Table1[[#This Row],[Age]]&lt;=16,"15-16",Table1[[#This Row],[Age]]&lt;19,"17-18")</f>
        <v>15-16</v>
      </c>
      <c r="G166" s="2" t="s">
        <v>758</v>
      </c>
      <c r="H166" s="3">
        <v>0.52100000000000002</v>
      </c>
      <c r="I166" s="3">
        <v>0.89200000000000002</v>
      </c>
      <c r="J166" s="3" t="str" cm="1">
        <f t="array" ref="J166">_xlfn.IFS(Table1[[#This Row],[Overall Attendance]]&gt;=0.6,"Good",Table1[[#This Row],[Overall Attendance]]&lt;0.6,"Bad")</f>
        <v>Good</v>
      </c>
      <c r="K166" s="4">
        <v>38017</v>
      </c>
      <c r="L166" s="4">
        <f t="shared" si="4"/>
        <v>456204</v>
      </c>
      <c r="M166" s="4" t="str" cm="1">
        <f t="array" ref="M16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66" s="2">
        <v>2</v>
      </c>
      <c r="O166" s="2" t="str" cm="1">
        <f t="array" ref="O166">_xlfn.IFS(Table1[[#This Row],[Distance to School (km)]]&gt;=5,"Far",Table1[[#This Row],[Distance to School (km)]]&lt;5,"Near")</f>
        <v>Near</v>
      </c>
      <c r="P166" s="5">
        <f t="shared" si="5"/>
        <v>0.29349999999999998</v>
      </c>
    </row>
    <row r="167" spans="1:16" ht="15" hidden="1" x14ac:dyDescent="0.25">
      <c r="A167" s="2" t="s">
        <v>172</v>
      </c>
      <c r="B167" s="2" t="s">
        <v>682</v>
      </c>
      <c r="C167" s="2" t="s">
        <v>726</v>
      </c>
      <c r="D167" s="2" t="s">
        <v>712</v>
      </c>
      <c r="E167" s="2">
        <v>16</v>
      </c>
      <c r="F167" s="2" t="str" cm="1">
        <f t="array" ref="F167">_xlfn.IFS(Table1[[#This Row],[Age]]&lt;=16,"15-16",Table1[[#This Row],[Age]]&lt;19,"17-18")</f>
        <v>15-16</v>
      </c>
      <c r="G167" s="2" t="s">
        <v>758</v>
      </c>
      <c r="H167" s="3">
        <v>0.80700000000000005</v>
      </c>
      <c r="I167" s="3">
        <v>0.75700000000000001</v>
      </c>
      <c r="J167" s="3" t="str" cm="1">
        <f t="array" ref="J167">_xlfn.IFS(Table1[[#This Row],[Overall Attendance]]&gt;=0.6,"Good",Table1[[#This Row],[Overall Attendance]]&lt;0.6,"Bad")</f>
        <v>Good</v>
      </c>
      <c r="K167" s="4">
        <v>26522</v>
      </c>
      <c r="L167" s="4">
        <f t="shared" si="4"/>
        <v>318264</v>
      </c>
      <c r="M167" s="4" t="str" cm="1">
        <f t="array" ref="M16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67" s="2">
        <v>1</v>
      </c>
      <c r="O167" s="2" t="str" cm="1">
        <f t="array" ref="O167">_xlfn.IFS(Table1[[#This Row],[Distance to School (km)]]&gt;=5,"Far",Table1[[#This Row],[Distance to School (km)]]&lt;5,"Near")</f>
        <v>Near</v>
      </c>
      <c r="P167" s="5">
        <f t="shared" si="5"/>
        <v>0.21799999999999997</v>
      </c>
    </row>
    <row r="168" spans="1:16" ht="15" x14ac:dyDescent="0.25">
      <c r="A168" s="2" t="s">
        <v>173</v>
      </c>
      <c r="B168" s="2" t="s">
        <v>681</v>
      </c>
      <c r="C168" s="2" t="s">
        <v>688</v>
      </c>
      <c r="D168" s="2" t="s">
        <v>756</v>
      </c>
      <c r="E168" s="2">
        <v>17</v>
      </c>
      <c r="F168" s="2" t="str" cm="1">
        <f t="array" ref="F168">_xlfn.IFS(Table1[[#This Row],[Age]]&lt;=16,"15-16",Table1[[#This Row],[Age]]&lt;19,"17-18")</f>
        <v>17-18</v>
      </c>
      <c r="G168" s="2" t="s">
        <v>758</v>
      </c>
      <c r="H168" s="3">
        <v>0.46200000000000002</v>
      </c>
      <c r="I168" s="3">
        <v>0.85599999999999998</v>
      </c>
      <c r="J168" s="3" t="str" cm="1">
        <f t="array" ref="J168">_xlfn.IFS(Table1[[#This Row],[Overall Attendance]]&gt;=0.6,"Good",Table1[[#This Row],[Overall Attendance]]&lt;0.6,"Bad")</f>
        <v>Good</v>
      </c>
      <c r="K168" s="4">
        <v>142988</v>
      </c>
      <c r="L168" s="4">
        <f t="shared" si="4"/>
        <v>1715856</v>
      </c>
      <c r="M168" s="4" t="str" cm="1">
        <f t="array" ref="M16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68" s="2">
        <v>2.4</v>
      </c>
      <c r="O168" s="2" t="str" cm="1">
        <f t="array" ref="O168">_xlfn.IFS(Table1[[#This Row],[Distance to School (km)]]&gt;=5,"Far",Table1[[#This Row],[Distance to School (km)]]&lt;5,"Near")</f>
        <v>Near</v>
      </c>
      <c r="P168" s="5">
        <f t="shared" si="5"/>
        <v>0.34099999999999997</v>
      </c>
    </row>
    <row r="169" spans="1:16" ht="15" x14ac:dyDescent="0.25">
      <c r="A169" s="2" t="s">
        <v>174</v>
      </c>
      <c r="B169" s="2" t="s">
        <v>642</v>
      </c>
      <c r="C169" s="2" t="s">
        <v>721</v>
      </c>
      <c r="D169" s="2" t="s">
        <v>712</v>
      </c>
      <c r="E169" s="2">
        <v>17</v>
      </c>
      <c r="F169" s="2" t="str" cm="1">
        <f t="array" ref="F169">_xlfn.IFS(Table1[[#This Row],[Age]]&lt;=16,"15-16",Table1[[#This Row],[Age]]&lt;19,"17-18")</f>
        <v>17-18</v>
      </c>
      <c r="G169" s="2" t="s">
        <v>758</v>
      </c>
      <c r="H169" s="3">
        <v>0.46600000000000003</v>
      </c>
      <c r="I169" s="3">
        <v>0.82799999999999996</v>
      </c>
      <c r="J169" s="3" t="str" cm="1">
        <f t="array" ref="J169">_xlfn.IFS(Table1[[#This Row],[Overall Attendance]]&gt;=0.6,"Good",Table1[[#This Row],[Overall Attendance]]&lt;0.6,"Bad")</f>
        <v>Good</v>
      </c>
      <c r="K169" s="4">
        <v>35561</v>
      </c>
      <c r="L169" s="4">
        <f t="shared" si="4"/>
        <v>426732</v>
      </c>
      <c r="M169" s="4" t="str" cm="1">
        <f t="array" ref="M16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69" s="2">
        <v>11.8</v>
      </c>
      <c r="O169" s="2" t="str" cm="1">
        <f t="array" ref="O169">_xlfn.IFS(Table1[[#This Row],[Distance to School (km)]]&gt;=5,"Far",Table1[[#This Row],[Distance to School (km)]]&lt;5,"Near")</f>
        <v>Far</v>
      </c>
      <c r="P169" s="5">
        <f t="shared" si="5"/>
        <v>0.35299999999999998</v>
      </c>
    </row>
    <row r="170" spans="1:16" ht="15" hidden="1" x14ac:dyDescent="0.25">
      <c r="A170" s="2" t="s">
        <v>175</v>
      </c>
      <c r="B170" s="2" t="s">
        <v>681</v>
      </c>
      <c r="C170" s="2" t="s">
        <v>651</v>
      </c>
      <c r="D170" s="2" t="s">
        <v>741</v>
      </c>
      <c r="E170" s="2">
        <v>16</v>
      </c>
      <c r="F170" s="2" t="str" cm="1">
        <f t="array" ref="F170">_xlfn.IFS(Table1[[#This Row],[Age]]&lt;=16,"15-16",Table1[[#This Row],[Age]]&lt;19,"17-18")</f>
        <v>15-16</v>
      </c>
      <c r="G170" s="2" t="s">
        <v>757</v>
      </c>
      <c r="H170" s="3">
        <v>0.82499999999999996</v>
      </c>
      <c r="I170" s="3">
        <v>0.78400000000000003</v>
      </c>
      <c r="J170" s="3" t="str" cm="1">
        <f t="array" ref="J170">_xlfn.IFS(Table1[[#This Row],[Overall Attendance]]&gt;=0.6,"Good",Table1[[#This Row],[Overall Attendance]]&lt;0.6,"Bad")</f>
        <v>Good</v>
      </c>
      <c r="K170" s="4">
        <v>45433</v>
      </c>
      <c r="L170" s="4">
        <f t="shared" si="4"/>
        <v>545196</v>
      </c>
      <c r="M170" s="4" t="str" cm="1">
        <f t="array" ref="M17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70" s="2">
        <v>7.2</v>
      </c>
      <c r="O170" s="2" t="str" cm="1">
        <f t="array" ref="O170">_xlfn.IFS(Table1[[#This Row],[Distance to School (km)]]&gt;=5,"Far",Table1[[#This Row],[Distance to School (km)]]&lt;5,"Near")</f>
        <v>Far</v>
      </c>
      <c r="P170" s="5">
        <f t="shared" si="5"/>
        <v>0.19550000000000001</v>
      </c>
    </row>
    <row r="171" spans="1:16" ht="15" x14ac:dyDescent="0.25">
      <c r="A171" s="2" t="s">
        <v>176</v>
      </c>
      <c r="B171" s="2" t="s">
        <v>678</v>
      </c>
      <c r="C171" s="2" t="s">
        <v>706</v>
      </c>
      <c r="D171" s="2" t="s">
        <v>736</v>
      </c>
      <c r="E171" s="2">
        <v>18</v>
      </c>
      <c r="F171" s="2" t="str" cm="1">
        <f t="array" ref="F171">_xlfn.IFS(Table1[[#This Row],[Age]]&lt;=16,"15-16",Table1[[#This Row],[Age]]&lt;19,"17-18")</f>
        <v>17-18</v>
      </c>
      <c r="G171" s="2" t="s">
        <v>758</v>
      </c>
      <c r="H171" s="3">
        <v>0.90599999999999992</v>
      </c>
      <c r="I171" s="3">
        <v>0.86799999999999999</v>
      </c>
      <c r="J171" s="3" t="str" cm="1">
        <f t="array" ref="J171">_xlfn.IFS(Table1[[#This Row],[Overall Attendance]]&gt;=0.6,"Good",Table1[[#This Row],[Overall Attendance]]&lt;0.6,"Bad")</f>
        <v>Good</v>
      </c>
      <c r="K171" s="4">
        <v>102483</v>
      </c>
      <c r="L171" s="4">
        <f t="shared" si="4"/>
        <v>1229796</v>
      </c>
      <c r="M171" s="4" t="str" cm="1">
        <f t="array" ref="M17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71" s="2">
        <v>5.3</v>
      </c>
      <c r="O171" s="2" t="str" cm="1">
        <f t="array" ref="O171">_xlfn.IFS(Table1[[#This Row],[Distance to School (km)]]&gt;=5,"Far",Table1[[#This Row],[Distance to School (km)]]&lt;5,"Near")</f>
        <v>Far</v>
      </c>
      <c r="P171" s="5">
        <f t="shared" si="5"/>
        <v>0.11299999999999999</v>
      </c>
    </row>
    <row r="172" spans="1:16" ht="15" x14ac:dyDescent="0.25">
      <c r="A172" s="2" t="s">
        <v>177</v>
      </c>
      <c r="B172" s="2" t="s">
        <v>642</v>
      </c>
      <c r="C172" s="2" t="s">
        <v>729</v>
      </c>
      <c r="D172" s="2" t="s">
        <v>739</v>
      </c>
      <c r="E172" s="2">
        <v>17</v>
      </c>
      <c r="F172" s="2" t="str" cm="1">
        <f t="array" ref="F172">_xlfn.IFS(Table1[[#This Row],[Age]]&lt;=16,"15-16",Table1[[#This Row],[Age]]&lt;19,"17-18")</f>
        <v>17-18</v>
      </c>
      <c r="G172" s="2" t="s">
        <v>757</v>
      </c>
      <c r="H172" s="3">
        <v>0.51600000000000001</v>
      </c>
      <c r="I172" s="3">
        <v>0.747</v>
      </c>
      <c r="J172" s="3" t="str" cm="1">
        <f t="array" ref="J172">_xlfn.IFS(Table1[[#This Row],[Overall Attendance]]&gt;=0.6,"Good",Table1[[#This Row],[Overall Attendance]]&lt;0.6,"Bad")</f>
        <v>Good</v>
      </c>
      <c r="K172" s="4">
        <v>98224</v>
      </c>
      <c r="L172" s="4">
        <f t="shared" si="4"/>
        <v>1178688</v>
      </c>
      <c r="M172" s="4" t="str" cm="1">
        <f t="array" ref="M17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72" s="2">
        <v>6.5</v>
      </c>
      <c r="O172" s="2" t="str" cm="1">
        <f t="array" ref="O172">_xlfn.IFS(Table1[[#This Row],[Distance to School (km)]]&gt;=5,"Far",Table1[[#This Row],[Distance to School (km)]]&lt;5,"Near")</f>
        <v>Far</v>
      </c>
      <c r="P172" s="5">
        <f t="shared" si="5"/>
        <v>0.36850000000000005</v>
      </c>
    </row>
    <row r="173" spans="1:16" ht="15" hidden="1" x14ac:dyDescent="0.25">
      <c r="A173" s="2" t="s">
        <v>178</v>
      </c>
      <c r="B173" s="2" t="s">
        <v>647</v>
      </c>
      <c r="C173" s="2" t="s">
        <v>721</v>
      </c>
      <c r="D173" s="2" t="s">
        <v>754</v>
      </c>
      <c r="E173" s="2">
        <v>16</v>
      </c>
      <c r="F173" s="2" t="str" cm="1">
        <f t="array" ref="F173">_xlfn.IFS(Table1[[#This Row],[Age]]&lt;=16,"15-16",Table1[[#This Row],[Age]]&lt;19,"17-18")</f>
        <v>15-16</v>
      </c>
      <c r="G173" s="2" t="s">
        <v>758</v>
      </c>
      <c r="H173" s="3">
        <v>0.748</v>
      </c>
      <c r="I173" s="3">
        <v>0.79</v>
      </c>
      <c r="J173" s="3" t="str" cm="1">
        <f t="array" ref="J173">_xlfn.IFS(Table1[[#This Row],[Overall Attendance]]&gt;=0.6,"Good",Table1[[#This Row],[Overall Attendance]]&lt;0.6,"Bad")</f>
        <v>Good</v>
      </c>
      <c r="K173" s="4">
        <v>171602</v>
      </c>
      <c r="L173" s="4">
        <f t="shared" si="4"/>
        <v>2059224</v>
      </c>
      <c r="M173" s="4" t="str" cm="1">
        <f t="array" ref="M17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73" s="2">
        <v>7.5</v>
      </c>
      <c r="O173" s="2" t="str" cm="1">
        <f t="array" ref="O173">_xlfn.IFS(Table1[[#This Row],[Distance to School (km)]]&gt;=5,"Far",Table1[[#This Row],[Distance to School (km)]]&lt;5,"Near")</f>
        <v>Far</v>
      </c>
      <c r="P173" s="5">
        <f t="shared" si="5"/>
        <v>0.23099999999999998</v>
      </c>
    </row>
    <row r="174" spans="1:16" ht="15" x14ac:dyDescent="0.25">
      <c r="A174" s="2" t="s">
        <v>179</v>
      </c>
      <c r="B174" s="2" t="s">
        <v>669</v>
      </c>
      <c r="C174" s="2" t="s">
        <v>692</v>
      </c>
      <c r="D174" s="2" t="s">
        <v>748</v>
      </c>
      <c r="E174" s="2">
        <v>17</v>
      </c>
      <c r="F174" s="2" t="str" cm="1">
        <f t="array" ref="F174">_xlfn.IFS(Table1[[#This Row],[Age]]&lt;=16,"15-16",Table1[[#This Row],[Age]]&lt;19,"17-18")</f>
        <v>17-18</v>
      </c>
      <c r="G174" s="2" t="s">
        <v>757</v>
      </c>
      <c r="H174" s="3">
        <v>0.67099999999999993</v>
      </c>
      <c r="I174" s="3">
        <v>0.98</v>
      </c>
      <c r="J174" s="3" t="str" cm="1">
        <f t="array" ref="J174">_xlfn.IFS(Table1[[#This Row],[Overall Attendance]]&gt;=0.6,"Good",Table1[[#This Row],[Overall Attendance]]&lt;0.6,"Bad")</f>
        <v>Good</v>
      </c>
      <c r="K174" s="4">
        <v>254337</v>
      </c>
      <c r="L174" s="4">
        <f t="shared" si="4"/>
        <v>3052044</v>
      </c>
      <c r="M174" s="4" t="str" cm="1">
        <f t="array" ref="M17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74" s="2">
        <v>4.0999999999999996</v>
      </c>
      <c r="O174" s="2" t="str" cm="1">
        <f t="array" ref="O174">_xlfn.IFS(Table1[[#This Row],[Distance to School (km)]]&gt;=5,"Far",Table1[[#This Row],[Distance to School (km)]]&lt;5,"Near")</f>
        <v>Near</v>
      </c>
      <c r="P174" s="5">
        <f t="shared" si="5"/>
        <v>0.1745000000000001</v>
      </c>
    </row>
    <row r="175" spans="1:16" ht="15" hidden="1" x14ac:dyDescent="0.25">
      <c r="A175" s="2" t="s">
        <v>180</v>
      </c>
      <c r="B175" s="2" t="s">
        <v>661</v>
      </c>
      <c r="C175" s="2" t="s">
        <v>705</v>
      </c>
      <c r="D175" s="2" t="s">
        <v>747</v>
      </c>
      <c r="E175" s="2">
        <v>15</v>
      </c>
      <c r="F175" s="2" t="str" cm="1">
        <f t="array" ref="F175">_xlfn.IFS(Table1[[#This Row],[Age]]&lt;=16,"15-16",Table1[[#This Row],[Age]]&lt;19,"17-18")</f>
        <v>15-16</v>
      </c>
      <c r="G175" s="2" t="s">
        <v>758</v>
      </c>
      <c r="H175" s="3">
        <v>0.56799999999999995</v>
      </c>
      <c r="I175" s="3">
        <v>0.73199999999999998</v>
      </c>
      <c r="J175" s="3" t="str" cm="1">
        <f t="array" ref="J175">_xlfn.IFS(Table1[[#This Row],[Overall Attendance]]&gt;=0.6,"Good",Table1[[#This Row],[Overall Attendance]]&lt;0.6,"Bad")</f>
        <v>Good</v>
      </c>
      <c r="K175" s="4">
        <v>32928</v>
      </c>
      <c r="L175" s="4">
        <f t="shared" si="4"/>
        <v>395136</v>
      </c>
      <c r="M175" s="4" t="str" cm="1">
        <f t="array" ref="M17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75" s="2">
        <v>3.8</v>
      </c>
      <c r="O175" s="2" t="str" cm="1">
        <f t="array" ref="O175">_xlfn.IFS(Table1[[#This Row],[Distance to School (km)]]&gt;=5,"Far",Table1[[#This Row],[Distance to School (km)]]&lt;5,"Near")</f>
        <v>Near</v>
      </c>
      <c r="P175" s="5">
        <f t="shared" si="5"/>
        <v>0.35000000000000009</v>
      </c>
    </row>
    <row r="176" spans="1:16" ht="15" hidden="1" x14ac:dyDescent="0.25">
      <c r="A176" s="2" t="s">
        <v>181</v>
      </c>
      <c r="B176" s="2" t="s">
        <v>677</v>
      </c>
      <c r="C176" s="2" t="s">
        <v>697</v>
      </c>
      <c r="D176" s="2" t="s">
        <v>741</v>
      </c>
      <c r="E176" s="2">
        <v>16</v>
      </c>
      <c r="F176" s="2" t="str" cm="1">
        <f t="array" ref="F176">_xlfn.IFS(Table1[[#This Row],[Age]]&lt;=16,"15-16",Table1[[#This Row],[Age]]&lt;19,"17-18")</f>
        <v>15-16</v>
      </c>
      <c r="G176" s="2" t="s">
        <v>758</v>
      </c>
      <c r="H176" s="3">
        <v>0.61899999999999999</v>
      </c>
      <c r="I176" s="3">
        <v>0.75099999999999989</v>
      </c>
      <c r="J176" s="3" t="str" cm="1">
        <f t="array" ref="J176">_xlfn.IFS(Table1[[#This Row],[Overall Attendance]]&gt;=0.6,"Good",Table1[[#This Row],[Overall Attendance]]&lt;0.6,"Bad")</f>
        <v>Good</v>
      </c>
      <c r="K176" s="4">
        <v>135538</v>
      </c>
      <c r="L176" s="4">
        <f t="shared" si="4"/>
        <v>1626456</v>
      </c>
      <c r="M176" s="4" t="str" cm="1">
        <f t="array" ref="M17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76" s="2">
        <v>2.1</v>
      </c>
      <c r="O176" s="2" t="str" cm="1">
        <f t="array" ref="O176">_xlfn.IFS(Table1[[#This Row],[Distance to School (km)]]&gt;=5,"Far",Table1[[#This Row],[Distance to School (km)]]&lt;5,"Near")</f>
        <v>Near</v>
      </c>
      <c r="P176" s="5">
        <f t="shared" si="5"/>
        <v>0.31500000000000006</v>
      </c>
    </row>
    <row r="177" spans="1:16" ht="15" hidden="1" x14ac:dyDescent="0.25">
      <c r="A177" s="2" t="s">
        <v>182</v>
      </c>
      <c r="B177" s="2" t="s">
        <v>663</v>
      </c>
      <c r="C177" s="2" t="s">
        <v>702</v>
      </c>
      <c r="D177" s="2" t="s">
        <v>756</v>
      </c>
      <c r="E177" s="2">
        <v>16</v>
      </c>
      <c r="F177" s="2" t="str" cm="1">
        <f t="array" ref="F177">_xlfn.IFS(Table1[[#This Row],[Age]]&lt;=16,"15-16",Table1[[#This Row],[Age]]&lt;19,"17-18")</f>
        <v>15-16</v>
      </c>
      <c r="G177" s="2" t="s">
        <v>757</v>
      </c>
      <c r="H177" s="3">
        <v>0.63300000000000001</v>
      </c>
      <c r="I177" s="3">
        <v>0.89200000000000002</v>
      </c>
      <c r="J177" s="3" t="str" cm="1">
        <f t="array" ref="J177">_xlfn.IFS(Table1[[#This Row],[Overall Attendance]]&gt;=0.6,"Good",Table1[[#This Row],[Overall Attendance]]&lt;0.6,"Bad")</f>
        <v>Good</v>
      </c>
      <c r="K177" s="4">
        <v>388052</v>
      </c>
      <c r="L177" s="4">
        <f t="shared" si="4"/>
        <v>4656624</v>
      </c>
      <c r="M177" s="4" t="str" cm="1">
        <f t="array" ref="M17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77" s="2">
        <v>1.7</v>
      </c>
      <c r="O177" s="2" t="str" cm="1">
        <f t="array" ref="O177">_xlfn.IFS(Table1[[#This Row],[Distance to School (km)]]&gt;=5,"Far",Table1[[#This Row],[Distance to School (km)]]&lt;5,"Near")</f>
        <v>Near</v>
      </c>
      <c r="P177" s="5">
        <f t="shared" si="5"/>
        <v>0.23750000000000004</v>
      </c>
    </row>
    <row r="178" spans="1:16" ht="15" hidden="1" x14ac:dyDescent="0.25">
      <c r="A178" s="2" t="s">
        <v>183</v>
      </c>
      <c r="B178" s="2" t="s">
        <v>643</v>
      </c>
      <c r="C178" s="2" t="s">
        <v>668</v>
      </c>
      <c r="D178" s="2" t="s">
        <v>750</v>
      </c>
      <c r="E178" s="2">
        <v>15</v>
      </c>
      <c r="F178" s="2" t="str" cm="1">
        <f t="array" ref="F178">_xlfn.IFS(Table1[[#This Row],[Age]]&lt;=16,"15-16",Table1[[#This Row],[Age]]&lt;19,"17-18")</f>
        <v>15-16</v>
      </c>
      <c r="G178" s="2" t="s">
        <v>757</v>
      </c>
      <c r="H178" s="3">
        <v>0.47799999999999998</v>
      </c>
      <c r="I178" s="3">
        <v>0.65099999999999991</v>
      </c>
      <c r="J178" s="3" t="str" cm="1">
        <f t="array" ref="J178">_xlfn.IFS(Table1[[#This Row],[Overall Attendance]]&gt;=0.6,"Good",Table1[[#This Row],[Overall Attendance]]&lt;0.6,"Bad")</f>
        <v>Good</v>
      </c>
      <c r="K178" s="4">
        <v>185268</v>
      </c>
      <c r="L178" s="4">
        <f t="shared" si="4"/>
        <v>2223216</v>
      </c>
      <c r="M178" s="4" t="str" cm="1">
        <f t="array" ref="M17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78" s="2">
        <v>4.2</v>
      </c>
      <c r="O178" s="2" t="str" cm="1">
        <f t="array" ref="O178">_xlfn.IFS(Table1[[#This Row],[Distance to School (km)]]&gt;=5,"Far",Table1[[#This Row],[Distance to School (km)]]&lt;5,"Near")</f>
        <v>Near</v>
      </c>
      <c r="P178" s="5">
        <f t="shared" si="5"/>
        <v>0.4355</v>
      </c>
    </row>
    <row r="179" spans="1:16" ht="15" x14ac:dyDescent="0.25">
      <c r="A179" s="2" t="s">
        <v>184</v>
      </c>
      <c r="B179" s="2" t="s">
        <v>675</v>
      </c>
      <c r="C179" s="2" t="s">
        <v>700</v>
      </c>
      <c r="D179" s="2" t="s">
        <v>736</v>
      </c>
      <c r="E179" s="2">
        <v>18</v>
      </c>
      <c r="F179" s="2" t="str" cm="1">
        <f t="array" ref="F179">_xlfn.IFS(Table1[[#This Row],[Age]]&lt;=16,"15-16",Table1[[#This Row],[Age]]&lt;19,"17-18")</f>
        <v>17-18</v>
      </c>
      <c r="G179" s="2" t="s">
        <v>757</v>
      </c>
      <c r="H179" s="3">
        <v>0.43200000000000005</v>
      </c>
      <c r="I179" s="3">
        <v>0.78500000000000003</v>
      </c>
      <c r="J179" s="3" t="str" cm="1">
        <f t="array" ref="J179">_xlfn.IFS(Table1[[#This Row],[Overall Attendance]]&gt;=0.6,"Good",Table1[[#This Row],[Overall Attendance]]&lt;0.6,"Bad")</f>
        <v>Good</v>
      </c>
      <c r="K179" s="4">
        <v>21222</v>
      </c>
      <c r="L179" s="4">
        <f t="shared" si="4"/>
        <v>254664</v>
      </c>
      <c r="M179" s="4" t="str" cm="1">
        <f t="array" ref="M17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79" s="2">
        <v>12</v>
      </c>
      <c r="O179" s="2" t="str" cm="1">
        <f t="array" ref="O179">_xlfn.IFS(Table1[[#This Row],[Distance to School (km)]]&gt;=5,"Far",Table1[[#This Row],[Distance to School (km)]]&lt;5,"Near")</f>
        <v>Far</v>
      </c>
      <c r="P179" s="5">
        <f t="shared" si="5"/>
        <v>0.39149999999999996</v>
      </c>
    </row>
    <row r="180" spans="1:16" ht="15" hidden="1" x14ac:dyDescent="0.25">
      <c r="A180" s="2" t="s">
        <v>185</v>
      </c>
      <c r="B180" s="2" t="s">
        <v>683</v>
      </c>
      <c r="C180" s="2" t="s">
        <v>717</v>
      </c>
      <c r="D180" s="2" t="s">
        <v>745</v>
      </c>
      <c r="E180" s="2">
        <v>16</v>
      </c>
      <c r="F180" s="2" t="str" cm="1">
        <f t="array" ref="F180">_xlfn.IFS(Table1[[#This Row],[Age]]&lt;=16,"15-16",Table1[[#This Row],[Age]]&lt;19,"17-18")</f>
        <v>15-16</v>
      </c>
      <c r="G180" s="2" t="s">
        <v>758</v>
      </c>
      <c r="H180" s="3">
        <v>0.77500000000000002</v>
      </c>
      <c r="I180" s="3">
        <v>0.82799999999999996</v>
      </c>
      <c r="J180" s="3" t="str" cm="1">
        <f t="array" ref="J180">_xlfn.IFS(Table1[[#This Row],[Overall Attendance]]&gt;=0.6,"Good",Table1[[#This Row],[Overall Attendance]]&lt;0.6,"Bad")</f>
        <v>Good</v>
      </c>
      <c r="K180" s="4">
        <v>319105</v>
      </c>
      <c r="L180" s="4">
        <f t="shared" si="4"/>
        <v>3829260</v>
      </c>
      <c r="M180" s="4" t="str" cm="1">
        <f t="array" ref="M18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80" s="2">
        <v>10.7</v>
      </c>
      <c r="O180" s="2" t="str" cm="1">
        <f t="array" ref="O180">_xlfn.IFS(Table1[[#This Row],[Distance to School (km)]]&gt;=5,"Far",Table1[[#This Row],[Distance to School (km)]]&lt;5,"Near")</f>
        <v>Far</v>
      </c>
      <c r="P180" s="5">
        <f t="shared" si="5"/>
        <v>0.19850000000000001</v>
      </c>
    </row>
    <row r="181" spans="1:16" ht="15" x14ac:dyDescent="0.25">
      <c r="A181" s="2" t="s">
        <v>186</v>
      </c>
      <c r="B181" s="2" t="s">
        <v>655</v>
      </c>
      <c r="C181" s="2" t="s">
        <v>704</v>
      </c>
      <c r="D181" s="2" t="s">
        <v>743</v>
      </c>
      <c r="E181" s="2">
        <v>17</v>
      </c>
      <c r="F181" s="2" t="str" cm="1">
        <f t="array" ref="F181">_xlfn.IFS(Table1[[#This Row],[Age]]&lt;=16,"15-16",Table1[[#This Row],[Age]]&lt;19,"17-18")</f>
        <v>17-18</v>
      </c>
      <c r="G181" s="2" t="s">
        <v>758</v>
      </c>
      <c r="H181" s="3">
        <v>0.52600000000000002</v>
      </c>
      <c r="I181" s="3">
        <v>0.96200000000000008</v>
      </c>
      <c r="J181" s="3" t="str" cm="1">
        <f t="array" ref="J181">_xlfn.IFS(Table1[[#This Row],[Overall Attendance]]&gt;=0.6,"Good",Table1[[#This Row],[Overall Attendance]]&lt;0.6,"Bad")</f>
        <v>Good</v>
      </c>
      <c r="K181" s="4">
        <v>41243</v>
      </c>
      <c r="L181" s="4">
        <f t="shared" si="4"/>
        <v>494916</v>
      </c>
      <c r="M181" s="4" t="str" cm="1">
        <f t="array" ref="M18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81" s="2">
        <v>9</v>
      </c>
      <c r="O181" s="2" t="str" cm="1">
        <f t="array" ref="O181">_xlfn.IFS(Table1[[#This Row],[Distance to School (km)]]&gt;=5,"Far",Table1[[#This Row],[Distance to School (km)]]&lt;5,"Near")</f>
        <v>Far</v>
      </c>
      <c r="P181" s="5">
        <f t="shared" si="5"/>
        <v>0.25600000000000001</v>
      </c>
    </row>
    <row r="182" spans="1:16" ht="15" hidden="1" x14ac:dyDescent="0.25">
      <c r="A182" s="2" t="s">
        <v>187</v>
      </c>
      <c r="B182" s="2" t="s">
        <v>660</v>
      </c>
      <c r="C182" s="2" t="s">
        <v>701</v>
      </c>
      <c r="D182" s="2" t="s">
        <v>641</v>
      </c>
      <c r="E182" s="2">
        <v>16</v>
      </c>
      <c r="F182" s="2" t="str" cm="1">
        <f t="array" ref="F182">_xlfn.IFS(Table1[[#This Row],[Age]]&lt;=16,"15-16",Table1[[#This Row],[Age]]&lt;19,"17-18")</f>
        <v>15-16</v>
      </c>
      <c r="G182" s="2" t="s">
        <v>757</v>
      </c>
      <c r="H182" s="3">
        <v>0.79900000000000004</v>
      </c>
      <c r="I182" s="3">
        <v>0.70700000000000007</v>
      </c>
      <c r="J182" s="3" t="str" cm="1">
        <f t="array" ref="J182">_xlfn.IFS(Table1[[#This Row],[Overall Attendance]]&gt;=0.6,"Good",Table1[[#This Row],[Overall Attendance]]&lt;0.6,"Bad")</f>
        <v>Good</v>
      </c>
      <c r="K182" s="4">
        <v>36884</v>
      </c>
      <c r="L182" s="4">
        <f t="shared" si="4"/>
        <v>442608</v>
      </c>
      <c r="M182" s="4" t="str" cm="1">
        <f t="array" ref="M18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82" s="2">
        <v>2.6</v>
      </c>
      <c r="O182" s="2" t="str" cm="1">
        <f t="array" ref="O182">_xlfn.IFS(Table1[[#This Row],[Distance to School (km)]]&gt;=5,"Far",Table1[[#This Row],[Distance to School (km)]]&lt;5,"Near")</f>
        <v>Near</v>
      </c>
      <c r="P182" s="5">
        <f t="shared" si="5"/>
        <v>0.24699999999999989</v>
      </c>
    </row>
    <row r="183" spans="1:16" ht="15" x14ac:dyDescent="0.25">
      <c r="A183" s="2" t="s">
        <v>188</v>
      </c>
      <c r="B183" s="2" t="s">
        <v>668</v>
      </c>
      <c r="C183" s="2" t="s">
        <v>722</v>
      </c>
      <c r="D183" s="2" t="s">
        <v>746</v>
      </c>
      <c r="E183" s="2">
        <v>17</v>
      </c>
      <c r="F183" s="2" t="str" cm="1">
        <f t="array" ref="F183">_xlfn.IFS(Table1[[#This Row],[Age]]&lt;=16,"15-16",Table1[[#This Row],[Age]]&lt;19,"17-18")</f>
        <v>17-18</v>
      </c>
      <c r="G183" s="2" t="s">
        <v>758</v>
      </c>
      <c r="H183" s="3">
        <v>0.61399999999999999</v>
      </c>
      <c r="I183" s="3">
        <v>0.89300000000000002</v>
      </c>
      <c r="J183" s="3" t="str" cm="1">
        <f t="array" ref="J183">_xlfn.IFS(Table1[[#This Row],[Overall Attendance]]&gt;=0.6,"Good",Table1[[#This Row],[Overall Attendance]]&lt;0.6,"Bad")</f>
        <v>Good</v>
      </c>
      <c r="K183" s="4">
        <v>44699</v>
      </c>
      <c r="L183" s="4">
        <f t="shared" si="4"/>
        <v>536388</v>
      </c>
      <c r="M183" s="4" t="str" cm="1">
        <f t="array" ref="M18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83" s="2">
        <v>3.5</v>
      </c>
      <c r="O183" s="2" t="str" cm="1">
        <f t="array" ref="O183">_xlfn.IFS(Table1[[#This Row],[Distance to School (km)]]&gt;=5,"Far",Table1[[#This Row],[Distance to School (km)]]&lt;5,"Near")</f>
        <v>Near</v>
      </c>
      <c r="P183" s="5">
        <f t="shared" si="5"/>
        <v>0.24649999999999994</v>
      </c>
    </row>
    <row r="184" spans="1:16" ht="15" x14ac:dyDescent="0.25">
      <c r="A184" s="2" t="s">
        <v>189</v>
      </c>
      <c r="B184" s="2" t="s">
        <v>663</v>
      </c>
      <c r="C184" s="2" t="s">
        <v>702</v>
      </c>
      <c r="D184" s="2" t="s">
        <v>743</v>
      </c>
      <c r="E184" s="2">
        <v>17</v>
      </c>
      <c r="F184" s="2" t="str" cm="1">
        <f t="array" ref="F184">_xlfn.IFS(Table1[[#This Row],[Age]]&lt;=16,"15-16",Table1[[#This Row],[Age]]&lt;19,"17-18")</f>
        <v>17-18</v>
      </c>
      <c r="G184" s="2" t="s">
        <v>757</v>
      </c>
      <c r="H184" s="3">
        <v>0.55100000000000005</v>
      </c>
      <c r="I184" s="3">
        <v>0.83299999999999996</v>
      </c>
      <c r="J184" s="3" t="str" cm="1">
        <f t="array" ref="J184">_xlfn.IFS(Table1[[#This Row],[Overall Attendance]]&gt;=0.6,"Good",Table1[[#This Row],[Overall Attendance]]&lt;0.6,"Bad")</f>
        <v>Good</v>
      </c>
      <c r="K184" s="4">
        <v>42481</v>
      </c>
      <c r="L184" s="4">
        <f t="shared" si="4"/>
        <v>509772</v>
      </c>
      <c r="M184" s="4" t="str" cm="1">
        <f t="array" ref="M18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84" s="2">
        <v>7.8</v>
      </c>
      <c r="O184" s="2" t="str" cm="1">
        <f t="array" ref="O184">_xlfn.IFS(Table1[[#This Row],[Distance to School (km)]]&gt;=5,"Far",Table1[[#This Row],[Distance to School (km)]]&lt;5,"Near")</f>
        <v>Far</v>
      </c>
      <c r="P184" s="5">
        <f t="shared" si="5"/>
        <v>0.30800000000000005</v>
      </c>
    </row>
    <row r="185" spans="1:16" ht="15" x14ac:dyDescent="0.25">
      <c r="A185" s="2" t="s">
        <v>190</v>
      </c>
      <c r="B185" s="2" t="s">
        <v>645</v>
      </c>
      <c r="C185" s="2" t="s">
        <v>707</v>
      </c>
      <c r="D185" s="2" t="s">
        <v>736</v>
      </c>
      <c r="E185" s="2">
        <v>18</v>
      </c>
      <c r="F185" s="2" t="str" cm="1">
        <f t="array" ref="F185">_xlfn.IFS(Table1[[#This Row],[Age]]&lt;=16,"15-16",Table1[[#This Row],[Age]]&lt;19,"17-18")</f>
        <v>17-18</v>
      </c>
      <c r="G185" s="2" t="s">
        <v>758</v>
      </c>
      <c r="H185" s="3">
        <v>0.752</v>
      </c>
      <c r="I185" s="3">
        <v>0.79</v>
      </c>
      <c r="J185" s="3" t="str" cm="1">
        <f t="array" ref="J185">_xlfn.IFS(Table1[[#This Row],[Overall Attendance]]&gt;=0.6,"Good",Table1[[#This Row],[Overall Attendance]]&lt;0.6,"Bad")</f>
        <v>Good</v>
      </c>
      <c r="K185" s="4">
        <v>297944</v>
      </c>
      <c r="L185" s="4">
        <f t="shared" si="4"/>
        <v>3575328</v>
      </c>
      <c r="M185" s="4" t="str" cm="1">
        <f t="array" ref="M18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85" s="2">
        <v>8.6</v>
      </c>
      <c r="O185" s="2" t="str" cm="1">
        <f t="array" ref="O185">_xlfn.IFS(Table1[[#This Row],[Distance to School (km)]]&gt;=5,"Far",Table1[[#This Row],[Distance to School (km)]]&lt;5,"Near")</f>
        <v>Far</v>
      </c>
      <c r="P185" s="5">
        <f t="shared" si="5"/>
        <v>0.22899999999999998</v>
      </c>
    </row>
    <row r="186" spans="1:16" ht="15" hidden="1" x14ac:dyDescent="0.25">
      <c r="A186" s="2" t="s">
        <v>191</v>
      </c>
      <c r="B186" s="2" t="s">
        <v>668</v>
      </c>
      <c r="C186" s="2" t="s">
        <v>687</v>
      </c>
      <c r="D186" s="2" t="s">
        <v>668</v>
      </c>
      <c r="E186" s="2">
        <v>15</v>
      </c>
      <c r="F186" s="2" t="str" cm="1">
        <f t="array" ref="F186">_xlfn.IFS(Table1[[#This Row],[Age]]&lt;=16,"15-16",Table1[[#This Row],[Age]]&lt;19,"17-18")</f>
        <v>15-16</v>
      </c>
      <c r="G186" s="2" t="s">
        <v>757</v>
      </c>
      <c r="H186" s="3">
        <v>0.627</v>
      </c>
      <c r="I186" s="3">
        <v>0.61699999999999999</v>
      </c>
      <c r="J186" s="3" t="str" cm="1">
        <f t="array" ref="J186">_xlfn.IFS(Table1[[#This Row],[Overall Attendance]]&gt;=0.6,"Good",Table1[[#This Row],[Overall Attendance]]&lt;0.6,"Bad")</f>
        <v>Good</v>
      </c>
      <c r="K186" s="4">
        <v>158557</v>
      </c>
      <c r="L186" s="4">
        <f t="shared" si="4"/>
        <v>1902684</v>
      </c>
      <c r="M186" s="4" t="str" cm="1">
        <f t="array" ref="M18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86" s="2">
        <v>1.4</v>
      </c>
      <c r="O186" s="2" t="str" cm="1">
        <f t="array" ref="O186">_xlfn.IFS(Table1[[#This Row],[Distance to School (km)]]&gt;=5,"Far",Table1[[#This Row],[Distance to School (km)]]&lt;5,"Near")</f>
        <v>Near</v>
      </c>
      <c r="P186" s="5">
        <f t="shared" si="5"/>
        <v>0.378</v>
      </c>
    </row>
    <row r="187" spans="1:16" ht="15" x14ac:dyDescent="0.25">
      <c r="A187" s="2" t="s">
        <v>192</v>
      </c>
      <c r="B187" s="2" t="s">
        <v>669</v>
      </c>
      <c r="C187" s="2" t="s">
        <v>708</v>
      </c>
      <c r="D187" s="2" t="s">
        <v>756</v>
      </c>
      <c r="E187" s="2">
        <v>18</v>
      </c>
      <c r="F187" s="2" t="str" cm="1">
        <f t="array" ref="F187">_xlfn.IFS(Table1[[#This Row],[Age]]&lt;=16,"15-16",Table1[[#This Row],[Age]]&lt;19,"17-18")</f>
        <v>17-18</v>
      </c>
      <c r="G187" s="2" t="s">
        <v>757</v>
      </c>
      <c r="H187" s="3">
        <v>0.66400000000000003</v>
      </c>
      <c r="I187" s="3">
        <v>0.93799999999999994</v>
      </c>
      <c r="J187" s="3" t="str" cm="1">
        <f t="array" ref="J187">_xlfn.IFS(Table1[[#This Row],[Overall Attendance]]&gt;=0.6,"Good",Table1[[#This Row],[Overall Attendance]]&lt;0.6,"Bad")</f>
        <v>Good</v>
      </c>
      <c r="K187" s="4">
        <v>25391</v>
      </c>
      <c r="L187" s="4">
        <f t="shared" si="4"/>
        <v>304692</v>
      </c>
      <c r="M187" s="4" t="str" cm="1">
        <f t="array" ref="M18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87" s="2">
        <v>8.3000000000000007</v>
      </c>
      <c r="O187" s="2" t="str" cm="1">
        <f t="array" ref="O187">_xlfn.IFS(Table1[[#This Row],[Distance to School (km)]]&gt;=5,"Far",Table1[[#This Row],[Distance to School (km)]]&lt;5,"Near")</f>
        <v>Far</v>
      </c>
      <c r="P187" s="5">
        <f t="shared" si="5"/>
        <v>0.19900000000000007</v>
      </c>
    </row>
    <row r="188" spans="1:16" ht="15" x14ac:dyDescent="0.25">
      <c r="A188" s="2" t="s">
        <v>193</v>
      </c>
      <c r="B188" s="2" t="s">
        <v>642</v>
      </c>
      <c r="C188" s="2" t="s">
        <v>727</v>
      </c>
      <c r="D188" s="2" t="s">
        <v>744</v>
      </c>
      <c r="E188" s="2">
        <v>17</v>
      </c>
      <c r="F188" s="2" t="str" cm="1">
        <f t="array" ref="F188">_xlfn.IFS(Table1[[#This Row],[Age]]&lt;=16,"15-16",Table1[[#This Row],[Age]]&lt;19,"17-18")</f>
        <v>17-18</v>
      </c>
      <c r="G188" s="2" t="s">
        <v>757</v>
      </c>
      <c r="H188" s="3">
        <v>0.66799999999999993</v>
      </c>
      <c r="I188" s="3">
        <v>0.71700000000000008</v>
      </c>
      <c r="J188" s="3" t="str" cm="1">
        <f t="array" ref="J188">_xlfn.IFS(Table1[[#This Row],[Overall Attendance]]&gt;=0.6,"Good",Table1[[#This Row],[Overall Attendance]]&lt;0.6,"Bad")</f>
        <v>Good</v>
      </c>
      <c r="K188" s="4">
        <v>36818</v>
      </c>
      <c r="L188" s="4">
        <f t="shared" si="4"/>
        <v>441816</v>
      </c>
      <c r="M188" s="4" t="str" cm="1">
        <f t="array" ref="M18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88" s="2">
        <v>6.9</v>
      </c>
      <c r="O188" s="2" t="str" cm="1">
        <f t="array" ref="O188">_xlfn.IFS(Table1[[#This Row],[Distance to School (km)]]&gt;=5,"Far",Table1[[#This Row],[Distance to School (km)]]&lt;5,"Near")</f>
        <v>Far</v>
      </c>
      <c r="P188" s="5">
        <f t="shared" si="5"/>
        <v>0.3075</v>
      </c>
    </row>
    <row r="189" spans="1:16" ht="15" hidden="1" x14ac:dyDescent="0.25">
      <c r="A189" s="2" t="s">
        <v>194</v>
      </c>
      <c r="B189" s="2" t="s">
        <v>665</v>
      </c>
      <c r="C189" s="2" t="s">
        <v>728</v>
      </c>
      <c r="D189" s="2" t="s">
        <v>746</v>
      </c>
      <c r="E189" s="2">
        <v>15</v>
      </c>
      <c r="F189" s="2" t="str" cm="1">
        <f t="array" ref="F189">_xlfn.IFS(Table1[[#This Row],[Age]]&lt;=16,"15-16",Table1[[#This Row],[Age]]&lt;19,"17-18")</f>
        <v>15-16</v>
      </c>
      <c r="G189" s="2" t="s">
        <v>757</v>
      </c>
      <c r="H189" s="3">
        <v>0.61599999999999999</v>
      </c>
      <c r="I189" s="3">
        <v>0.68900000000000006</v>
      </c>
      <c r="J189" s="3" t="str" cm="1">
        <f t="array" ref="J189">_xlfn.IFS(Table1[[#This Row],[Overall Attendance]]&gt;=0.6,"Good",Table1[[#This Row],[Overall Attendance]]&lt;0.6,"Bad")</f>
        <v>Good</v>
      </c>
      <c r="K189" s="4">
        <v>21484</v>
      </c>
      <c r="L189" s="4">
        <f t="shared" si="4"/>
        <v>257808</v>
      </c>
      <c r="M189" s="4" t="str" cm="1">
        <f t="array" ref="M18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89" s="2">
        <v>6.7</v>
      </c>
      <c r="O189" s="2" t="str" cm="1">
        <f t="array" ref="O189">_xlfn.IFS(Table1[[#This Row],[Distance to School (km)]]&gt;=5,"Far",Table1[[#This Row],[Distance to School (km)]]&lt;5,"Near")</f>
        <v>Far</v>
      </c>
      <c r="P189" s="5">
        <f t="shared" si="5"/>
        <v>0.34749999999999992</v>
      </c>
    </row>
    <row r="190" spans="1:16" ht="15" x14ac:dyDescent="0.25">
      <c r="A190" s="2" t="s">
        <v>195</v>
      </c>
      <c r="B190" s="2" t="s">
        <v>681</v>
      </c>
      <c r="C190" s="2" t="s">
        <v>733</v>
      </c>
      <c r="D190" s="2" t="s">
        <v>745</v>
      </c>
      <c r="E190" s="2">
        <v>18</v>
      </c>
      <c r="F190" s="2" t="str" cm="1">
        <f t="array" ref="F190">_xlfn.IFS(Table1[[#This Row],[Age]]&lt;=16,"15-16",Table1[[#This Row],[Age]]&lt;19,"17-18")</f>
        <v>17-18</v>
      </c>
      <c r="G190" s="2" t="s">
        <v>757</v>
      </c>
      <c r="H190" s="3">
        <v>0.60299999999999998</v>
      </c>
      <c r="I190" s="3">
        <v>0.88099999999999989</v>
      </c>
      <c r="J190" s="3" t="str" cm="1">
        <f t="array" ref="J190">_xlfn.IFS(Table1[[#This Row],[Overall Attendance]]&gt;=0.6,"Good",Table1[[#This Row],[Overall Attendance]]&lt;0.6,"Bad")</f>
        <v>Good</v>
      </c>
      <c r="K190" s="4">
        <v>369314</v>
      </c>
      <c r="L190" s="4">
        <f t="shared" si="4"/>
        <v>4431768</v>
      </c>
      <c r="M190" s="4" t="str" cm="1">
        <f t="array" ref="M19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90" s="2">
        <v>4.8</v>
      </c>
      <c r="O190" s="2" t="str" cm="1">
        <f t="array" ref="O190">_xlfn.IFS(Table1[[#This Row],[Distance to School (km)]]&gt;=5,"Far",Table1[[#This Row],[Distance to School (km)]]&lt;5,"Near")</f>
        <v>Near</v>
      </c>
      <c r="P190" s="5">
        <f t="shared" si="5"/>
        <v>0.25800000000000001</v>
      </c>
    </row>
    <row r="191" spans="1:16" ht="15" x14ac:dyDescent="0.25">
      <c r="A191" s="2" t="s">
        <v>196</v>
      </c>
      <c r="B191" s="2" t="s">
        <v>647</v>
      </c>
      <c r="C191" s="2" t="s">
        <v>716</v>
      </c>
      <c r="D191" s="2" t="s">
        <v>755</v>
      </c>
      <c r="E191" s="2">
        <v>18</v>
      </c>
      <c r="F191" s="2" t="str" cm="1">
        <f t="array" ref="F191">_xlfn.IFS(Table1[[#This Row],[Age]]&lt;=16,"15-16",Table1[[#This Row],[Age]]&lt;19,"17-18")</f>
        <v>17-18</v>
      </c>
      <c r="G191" s="2" t="s">
        <v>758</v>
      </c>
      <c r="H191" s="3">
        <v>0.8909999999999999</v>
      </c>
      <c r="I191" s="3">
        <v>0.94499999999999995</v>
      </c>
      <c r="J191" s="3" t="str" cm="1">
        <f t="array" ref="J191">_xlfn.IFS(Table1[[#This Row],[Overall Attendance]]&gt;=0.6,"Good",Table1[[#This Row],[Overall Attendance]]&lt;0.6,"Bad")</f>
        <v>Good</v>
      </c>
      <c r="K191" s="4">
        <v>117432</v>
      </c>
      <c r="L191" s="4">
        <f t="shared" si="4"/>
        <v>1409184</v>
      </c>
      <c r="M191" s="4" t="str" cm="1">
        <f t="array" ref="M19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91" s="2">
        <v>1.9</v>
      </c>
      <c r="O191" s="2" t="str" cm="1">
        <f t="array" ref="O191">_xlfn.IFS(Table1[[#This Row],[Distance to School (km)]]&gt;=5,"Far",Table1[[#This Row],[Distance to School (km)]]&lt;5,"Near")</f>
        <v>Near</v>
      </c>
      <c r="P191" s="5">
        <f t="shared" si="5"/>
        <v>8.2000000000000073E-2</v>
      </c>
    </row>
    <row r="192" spans="1:16" ht="15" hidden="1" x14ac:dyDescent="0.25">
      <c r="A192" s="2" t="s">
        <v>197</v>
      </c>
      <c r="B192" s="2" t="s">
        <v>645</v>
      </c>
      <c r="C192" s="2" t="s">
        <v>652</v>
      </c>
      <c r="D192" s="2" t="s">
        <v>746</v>
      </c>
      <c r="E192" s="2">
        <v>16</v>
      </c>
      <c r="F192" s="2" t="str" cm="1">
        <f t="array" ref="F192">_xlfn.IFS(Table1[[#This Row],[Age]]&lt;=16,"15-16",Table1[[#This Row],[Age]]&lt;19,"17-18")</f>
        <v>15-16</v>
      </c>
      <c r="G192" s="2" t="s">
        <v>757</v>
      </c>
      <c r="H192" s="3">
        <v>0.63300000000000001</v>
      </c>
      <c r="I192" s="3">
        <v>0.54299999999999993</v>
      </c>
      <c r="J192" s="3" t="str" cm="1">
        <f t="array" ref="J192">_xlfn.IFS(Table1[[#This Row],[Overall Attendance]]&gt;=0.6,"Good",Table1[[#This Row],[Overall Attendance]]&lt;0.6,"Bad")</f>
        <v>Bad</v>
      </c>
      <c r="K192" s="4">
        <v>342724</v>
      </c>
      <c r="L192" s="4">
        <f t="shared" si="4"/>
        <v>4112688</v>
      </c>
      <c r="M192" s="4" t="str" cm="1">
        <f t="array" ref="M19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92" s="2">
        <v>6.6</v>
      </c>
      <c r="O192" s="2" t="str" cm="1">
        <f t="array" ref="O192">_xlfn.IFS(Table1[[#This Row],[Distance to School (km)]]&gt;=5,"Far",Table1[[#This Row],[Distance to School (km)]]&lt;5,"Near")</f>
        <v>Far</v>
      </c>
      <c r="P192" s="5">
        <f t="shared" si="5"/>
        <v>0.41200000000000003</v>
      </c>
    </row>
    <row r="193" spans="1:16" ht="15" hidden="1" x14ac:dyDescent="0.25">
      <c r="A193" s="2" t="s">
        <v>198</v>
      </c>
      <c r="B193" s="2" t="s">
        <v>646</v>
      </c>
      <c r="C193" s="2" t="s">
        <v>690</v>
      </c>
      <c r="D193" s="2" t="s">
        <v>751</v>
      </c>
      <c r="E193" s="2">
        <v>15</v>
      </c>
      <c r="F193" s="2" t="str" cm="1">
        <f t="array" ref="F193">_xlfn.IFS(Table1[[#This Row],[Age]]&lt;=16,"15-16",Table1[[#This Row],[Age]]&lt;19,"17-18")</f>
        <v>15-16</v>
      </c>
      <c r="G193" s="2" t="s">
        <v>757</v>
      </c>
      <c r="H193" s="3">
        <v>0.57499999999999996</v>
      </c>
      <c r="I193" s="3">
        <v>0.98</v>
      </c>
      <c r="J193" s="3" t="str" cm="1">
        <f t="array" ref="J193">_xlfn.IFS(Table1[[#This Row],[Overall Attendance]]&gt;=0.6,"Good",Table1[[#This Row],[Overall Attendance]]&lt;0.6,"Bad")</f>
        <v>Good</v>
      </c>
      <c r="K193" s="4">
        <v>373067</v>
      </c>
      <c r="L193" s="4">
        <f t="shared" si="4"/>
        <v>4476804</v>
      </c>
      <c r="M193" s="4" t="str" cm="1">
        <f t="array" ref="M19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93" s="2">
        <v>7.6</v>
      </c>
      <c r="O193" s="2" t="str" cm="1">
        <f t="array" ref="O193">_xlfn.IFS(Table1[[#This Row],[Distance to School (km)]]&gt;=5,"Far",Table1[[#This Row],[Distance to School (km)]]&lt;5,"Near")</f>
        <v>Far</v>
      </c>
      <c r="P193" s="5">
        <f t="shared" si="5"/>
        <v>0.22250000000000003</v>
      </c>
    </row>
    <row r="194" spans="1:16" ht="15" hidden="1" x14ac:dyDescent="0.25">
      <c r="A194" s="2" t="s">
        <v>199</v>
      </c>
      <c r="B194" s="2" t="s">
        <v>679</v>
      </c>
      <c r="C194" s="2" t="s">
        <v>699</v>
      </c>
      <c r="D194" s="2" t="s">
        <v>743</v>
      </c>
      <c r="E194" s="2">
        <v>16</v>
      </c>
      <c r="F194" s="2" t="str" cm="1">
        <f t="array" ref="F194">_xlfn.IFS(Table1[[#This Row],[Age]]&lt;=16,"15-16",Table1[[#This Row],[Age]]&lt;19,"17-18")</f>
        <v>15-16</v>
      </c>
      <c r="G194" s="2" t="s">
        <v>757</v>
      </c>
      <c r="H194" s="3">
        <v>0.51200000000000001</v>
      </c>
      <c r="I194" s="3">
        <v>0.75900000000000001</v>
      </c>
      <c r="J194" s="3" t="str" cm="1">
        <f t="array" ref="J194">_xlfn.IFS(Table1[[#This Row],[Overall Attendance]]&gt;=0.6,"Good",Table1[[#This Row],[Overall Attendance]]&lt;0.6,"Bad")</f>
        <v>Good</v>
      </c>
      <c r="K194" s="4">
        <v>42020</v>
      </c>
      <c r="L194" s="4">
        <f t="shared" si="4"/>
        <v>504240</v>
      </c>
      <c r="M194" s="4" t="str" cm="1">
        <f t="array" ref="M19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94" s="2">
        <v>5.0999999999999996</v>
      </c>
      <c r="O194" s="2" t="str" cm="1">
        <f t="array" ref="O194">_xlfn.IFS(Table1[[#This Row],[Distance to School (km)]]&gt;=5,"Far",Table1[[#This Row],[Distance to School (km)]]&lt;5,"Near")</f>
        <v>Far</v>
      </c>
      <c r="P194" s="5">
        <f t="shared" si="5"/>
        <v>0.36450000000000005</v>
      </c>
    </row>
    <row r="195" spans="1:16" ht="15" hidden="1" x14ac:dyDescent="0.25">
      <c r="A195" s="2" t="s">
        <v>200</v>
      </c>
      <c r="B195" s="2" t="s">
        <v>649</v>
      </c>
      <c r="C195" s="2" t="s">
        <v>687</v>
      </c>
      <c r="D195" s="2" t="s">
        <v>751</v>
      </c>
      <c r="E195" s="2">
        <v>16</v>
      </c>
      <c r="F195" s="2" t="str" cm="1">
        <f t="array" ref="F195">_xlfn.IFS(Table1[[#This Row],[Age]]&lt;=16,"15-16",Table1[[#This Row],[Age]]&lt;19,"17-18")</f>
        <v>15-16</v>
      </c>
      <c r="G195" s="2" t="s">
        <v>757</v>
      </c>
      <c r="H195" s="3">
        <v>0.52100000000000002</v>
      </c>
      <c r="I195" s="3">
        <v>0.81799999999999995</v>
      </c>
      <c r="J195" s="3" t="str" cm="1">
        <f t="array" ref="J195">_xlfn.IFS(Table1[[#This Row],[Overall Attendance]]&gt;=0.6,"Good",Table1[[#This Row],[Overall Attendance]]&lt;0.6,"Bad")</f>
        <v>Good</v>
      </c>
      <c r="K195" s="4">
        <v>175512</v>
      </c>
      <c r="L195" s="4">
        <f t="shared" ref="L195:L258" si="6">K195*12</f>
        <v>2106144</v>
      </c>
      <c r="M195" s="4" t="str" cm="1">
        <f t="array" ref="M19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95" s="2">
        <v>3.2</v>
      </c>
      <c r="O195" s="2" t="str" cm="1">
        <f t="array" ref="O195">_xlfn.IFS(Table1[[#This Row],[Distance to School (km)]]&gt;=5,"Far",Table1[[#This Row],[Distance to School (km)]]&lt;5,"Near")</f>
        <v>Near</v>
      </c>
      <c r="P195" s="5">
        <f t="shared" ref="P195:P258" si="7">100%-AVERAGE(H195:I195)</f>
        <v>0.33050000000000002</v>
      </c>
    </row>
    <row r="196" spans="1:16" ht="15" hidden="1" x14ac:dyDescent="0.25">
      <c r="A196" s="2" t="s">
        <v>201</v>
      </c>
      <c r="B196" s="2" t="s">
        <v>676</v>
      </c>
      <c r="C196" s="2" t="s">
        <v>729</v>
      </c>
      <c r="D196" s="2" t="s">
        <v>741</v>
      </c>
      <c r="E196" s="2">
        <v>15</v>
      </c>
      <c r="F196" s="2" t="str" cm="1">
        <f t="array" ref="F196">_xlfn.IFS(Table1[[#This Row],[Age]]&lt;=16,"15-16",Table1[[#This Row],[Age]]&lt;19,"17-18")</f>
        <v>15-16</v>
      </c>
      <c r="G196" s="2" t="s">
        <v>757</v>
      </c>
      <c r="H196" s="3">
        <v>0.8909999999999999</v>
      </c>
      <c r="I196" s="3">
        <v>0.91099999999999992</v>
      </c>
      <c r="J196" s="3" t="str" cm="1">
        <f t="array" ref="J196">_xlfn.IFS(Table1[[#This Row],[Overall Attendance]]&gt;=0.6,"Good",Table1[[#This Row],[Overall Attendance]]&lt;0.6,"Bad")</f>
        <v>Good</v>
      </c>
      <c r="K196" s="4">
        <v>364101</v>
      </c>
      <c r="L196" s="4">
        <f t="shared" si="6"/>
        <v>4369212</v>
      </c>
      <c r="M196" s="4" t="str" cm="1">
        <f t="array" ref="M19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96" s="2">
        <v>6.9</v>
      </c>
      <c r="O196" s="2" t="str" cm="1">
        <f t="array" ref="O196">_xlfn.IFS(Table1[[#This Row],[Distance to School (km)]]&gt;=5,"Far",Table1[[#This Row],[Distance to School (km)]]&lt;5,"Near")</f>
        <v>Far</v>
      </c>
      <c r="P196" s="5">
        <f t="shared" si="7"/>
        <v>9.9000000000000088E-2</v>
      </c>
    </row>
    <row r="197" spans="1:16" ht="15" x14ac:dyDescent="0.25">
      <c r="A197" s="2" t="s">
        <v>202</v>
      </c>
      <c r="B197" s="2" t="s">
        <v>663</v>
      </c>
      <c r="C197" s="2" t="s">
        <v>712</v>
      </c>
      <c r="D197" s="2" t="s">
        <v>755</v>
      </c>
      <c r="E197" s="2">
        <v>18</v>
      </c>
      <c r="F197" s="2" t="str" cm="1">
        <f t="array" ref="F197">_xlfn.IFS(Table1[[#This Row],[Age]]&lt;=16,"15-16",Table1[[#This Row],[Age]]&lt;19,"17-18")</f>
        <v>17-18</v>
      </c>
      <c r="G197" s="2" t="s">
        <v>758</v>
      </c>
      <c r="H197" s="3">
        <v>0.64300000000000002</v>
      </c>
      <c r="I197" s="3">
        <v>0.73499999999999999</v>
      </c>
      <c r="J197" s="3" t="str" cm="1">
        <f t="array" ref="J197">_xlfn.IFS(Table1[[#This Row],[Overall Attendance]]&gt;=0.6,"Good",Table1[[#This Row],[Overall Attendance]]&lt;0.6,"Bad")</f>
        <v>Good</v>
      </c>
      <c r="K197" s="4">
        <v>278614</v>
      </c>
      <c r="L197" s="4">
        <f t="shared" si="6"/>
        <v>3343368</v>
      </c>
      <c r="M197" s="4" t="str" cm="1">
        <f t="array" ref="M19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97" s="2">
        <v>2.6</v>
      </c>
      <c r="O197" s="2" t="str" cm="1">
        <f t="array" ref="O197">_xlfn.IFS(Table1[[#This Row],[Distance to School (km)]]&gt;=5,"Far",Table1[[#This Row],[Distance to School (km)]]&lt;5,"Near")</f>
        <v>Near</v>
      </c>
      <c r="P197" s="5">
        <f t="shared" si="7"/>
        <v>0.31099999999999994</v>
      </c>
    </row>
    <row r="198" spans="1:16" ht="15" hidden="1" x14ac:dyDescent="0.25">
      <c r="A198" s="2" t="s">
        <v>203</v>
      </c>
      <c r="B198" s="2" t="s">
        <v>645</v>
      </c>
      <c r="C198" s="2" t="s">
        <v>715</v>
      </c>
      <c r="D198" s="2" t="s">
        <v>748</v>
      </c>
      <c r="E198" s="2">
        <v>16</v>
      </c>
      <c r="F198" s="2" t="str" cm="1">
        <f t="array" ref="F198">_xlfn.IFS(Table1[[#This Row],[Age]]&lt;=16,"15-16",Table1[[#This Row],[Age]]&lt;19,"17-18")</f>
        <v>15-16</v>
      </c>
      <c r="G198" s="2" t="s">
        <v>757</v>
      </c>
      <c r="H198" s="3">
        <v>0.66200000000000003</v>
      </c>
      <c r="I198" s="3">
        <v>0.77599999999999991</v>
      </c>
      <c r="J198" s="3" t="str" cm="1">
        <f t="array" ref="J198">_xlfn.IFS(Table1[[#This Row],[Overall Attendance]]&gt;=0.6,"Good",Table1[[#This Row],[Overall Attendance]]&lt;0.6,"Bad")</f>
        <v>Good</v>
      </c>
      <c r="K198" s="4">
        <v>308181</v>
      </c>
      <c r="L198" s="4">
        <f t="shared" si="6"/>
        <v>3698172</v>
      </c>
      <c r="M198" s="4" t="str" cm="1">
        <f t="array" ref="M19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198" s="2">
        <v>6.9</v>
      </c>
      <c r="O198" s="2" t="str" cm="1">
        <f t="array" ref="O198">_xlfn.IFS(Table1[[#This Row],[Distance to School (km)]]&gt;=5,"Far",Table1[[#This Row],[Distance to School (km)]]&lt;5,"Near")</f>
        <v>Far</v>
      </c>
      <c r="P198" s="5">
        <f t="shared" si="7"/>
        <v>0.28100000000000003</v>
      </c>
    </row>
    <row r="199" spans="1:16" ht="15" x14ac:dyDescent="0.25">
      <c r="A199" s="2" t="s">
        <v>204</v>
      </c>
      <c r="B199" s="2" t="s">
        <v>665</v>
      </c>
      <c r="C199" s="2" t="s">
        <v>696</v>
      </c>
      <c r="D199" s="2" t="s">
        <v>740</v>
      </c>
      <c r="E199" s="2">
        <v>18</v>
      </c>
      <c r="F199" s="2" t="str" cm="1">
        <f t="array" ref="F199">_xlfn.IFS(Table1[[#This Row],[Age]]&lt;=16,"15-16",Table1[[#This Row],[Age]]&lt;19,"17-18")</f>
        <v>17-18</v>
      </c>
      <c r="G199" s="2" t="s">
        <v>758</v>
      </c>
      <c r="H199" s="3">
        <v>0.59599999999999997</v>
      </c>
      <c r="I199" s="3">
        <v>0.85599999999999998</v>
      </c>
      <c r="J199" s="3" t="str" cm="1">
        <f t="array" ref="J199">_xlfn.IFS(Table1[[#This Row],[Overall Attendance]]&gt;=0.6,"Good",Table1[[#This Row],[Overall Attendance]]&lt;0.6,"Bad")</f>
        <v>Good</v>
      </c>
      <c r="K199" s="4">
        <v>74319</v>
      </c>
      <c r="L199" s="4">
        <f t="shared" si="6"/>
        <v>891828</v>
      </c>
      <c r="M199" s="4" t="str" cm="1">
        <f t="array" ref="M19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199" s="2">
        <v>1.1000000000000001</v>
      </c>
      <c r="O199" s="2" t="str" cm="1">
        <f t="array" ref="O199">_xlfn.IFS(Table1[[#This Row],[Distance to School (km)]]&gt;=5,"Far",Table1[[#This Row],[Distance to School (km)]]&lt;5,"Near")</f>
        <v>Near</v>
      </c>
      <c r="P199" s="5">
        <f t="shared" si="7"/>
        <v>0.27400000000000002</v>
      </c>
    </row>
    <row r="200" spans="1:16" ht="15" x14ac:dyDescent="0.25">
      <c r="A200" s="2" t="s">
        <v>205</v>
      </c>
      <c r="B200" s="2" t="s">
        <v>679</v>
      </c>
      <c r="C200" s="2" t="s">
        <v>715</v>
      </c>
      <c r="D200" s="2" t="s">
        <v>740</v>
      </c>
      <c r="E200" s="2">
        <v>17</v>
      </c>
      <c r="F200" s="2" t="str" cm="1">
        <f t="array" ref="F200">_xlfn.IFS(Table1[[#This Row],[Age]]&lt;=16,"15-16",Table1[[#This Row],[Age]]&lt;19,"17-18")</f>
        <v>17-18</v>
      </c>
      <c r="G200" s="2" t="s">
        <v>757</v>
      </c>
      <c r="H200" s="3">
        <v>0.67400000000000004</v>
      </c>
      <c r="I200" s="3">
        <v>0.69499999999999995</v>
      </c>
      <c r="J200" s="3" t="str" cm="1">
        <f t="array" ref="J200">_xlfn.IFS(Table1[[#This Row],[Overall Attendance]]&gt;=0.6,"Good",Table1[[#This Row],[Overall Attendance]]&lt;0.6,"Bad")</f>
        <v>Good</v>
      </c>
      <c r="K200" s="4">
        <v>86625</v>
      </c>
      <c r="L200" s="4">
        <f t="shared" si="6"/>
        <v>1039500</v>
      </c>
      <c r="M200" s="4" t="str" cm="1">
        <f t="array" ref="M20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00" s="2">
        <v>10.5</v>
      </c>
      <c r="O200" s="2" t="str" cm="1">
        <f t="array" ref="O200">_xlfn.IFS(Table1[[#This Row],[Distance to School (km)]]&gt;=5,"Far",Table1[[#This Row],[Distance to School (km)]]&lt;5,"Near")</f>
        <v>Far</v>
      </c>
      <c r="P200" s="5">
        <f t="shared" si="7"/>
        <v>0.3155</v>
      </c>
    </row>
    <row r="201" spans="1:16" ht="15" hidden="1" x14ac:dyDescent="0.25">
      <c r="A201" s="2" t="s">
        <v>206</v>
      </c>
      <c r="B201" s="2" t="s">
        <v>659</v>
      </c>
      <c r="C201" s="2" t="s">
        <v>725</v>
      </c>
      <c r="D201" s="2" t="s">
        <v>740</v>
      </c>
      <c r="E201" s="2">
        <v>16</v>
      </c>
      <c r="F201" s="2" t="str" cm="1">
        <f t="array" ref="F201">_xlfn.IFS(Table1[[#This Row],[Age]]&lt;=16,"15-16",Table1[[#This Row],[Age]]&lt;19,"17-18")</f>
        <v>15-16</v>
      </c>
      <c r="G201" s="2" t="s">
        <v>758</v>
      </c>
      <c r="H201" s="3">
        <v>0.67799999999999994</v>
      </c>
      <c r="I201" s="3">
        <v>0.80799999999999994</v>
      </c>
      <c r="J201" s="3" t="str" cm="1">
        <f t="array" ref="J201">_xlfn.IFS(Table1[[#This Row],[Overall Attendance]]&gt;=0.6,"Good",Table1[[#This Row],[Overall Attendance]]&lt;0.6,"Bad")</f>
        <v>Good</v>
      </c>
      <c r="K201" s="4">
        <v>81387</v>
      </c>
      <c r="L201" s="4">
        <f t="shared" si="6"/>
        <v>976644</v>
      </c>
      <c r="M201" s="4" t="str" cm="1">
        <f t="array" ref="M20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01" s="2">
        <v>5.0999999999999996</v>
      </c>
      <c r="O201" s="2" t="str" cm="1">
        <f t="array" ref="O201">_xlfn.IFS(Table1[[#This Row],[Distance to School (km)]]&gt;=5,"Far",Table1[[#This Row],[Distance to School (km)]]&lt;5,"Near")</f>
        <v>Far</v>
      </c>
      <c r="P201" s="5">
        <f t="shared" si="7"/>
        <v>0.25700000000000012</v>
      </c>
    </row>
    <row r="202" spans="1:16" ht="15" x14ac:dyDescent="0.25">
      <c r="A202" s="2" t="s">
        <v>207</v>
      </c>
      <c r="B202" s="2" t="s">
        <v>683</v>
      </c>
      <c r="C202" s="2" t="s">
        <v>714</v>
      </c>
      <c r="D202" s="2" t="s">
        <v>755</v>
      </c>
      <c r="E202" s="2">
        <v>18</v>
      </c>
      <c r="F202" s="2" t="str" cm="1">
        <f t="array" ref="F202">_xlfn.IFS(Table1[[#This Row],[Age]]&lt;=16,"15-16",Table1[[#This Row],[Age]]&lt;19,"17-18")</f>
        <v>17-18</v>
      </c>
      <c r="G202" s="2" t="s">
        <v>758</v>
      </c>
      <c r="H202" s="3">
        <v>0.45</v>
      </c>
      <c r="I202" s="3">
        <v>0.85</v>
      </c>
      <c r="J202" s="3" t="str" cm="1">
        <f t="array" ref="J202">_xlfn.IFS(Table1[[#This Row],[Overall Attendance]]&gt;=0.6,"Good",Table1[[#This Row],[Overall Attendance]]&lt;0.6,"Bad")</f>
        <v>Good</v>
      </c>
      <c r="K202" s="4">
        <v>334432</v>
      </c>
      <c r="L202" s="4">
        <f t="shared" si="6"/>
        <v>4013184</v>
      </c>
      <c r="M202" s="4" t="str" cm="1">
        <f t="array" ref="M20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02" s="2">
        <v>5.9</v>
      </c>
      <c r="O202" s="2" t="str" cm="1">
        <f t="array" ref="O202">_xlfn.IFS(Table1[[#This Row],[Distance to School (km)]]&gt;=5,"Far",Table1[[#This Row],[Distance to School (km)]]&lt;5,"Near")</f>
        <v>Far</v>
      </c>
      <c r="P202" s="5">
        <f t="shared" si="7"/>
        <v>0.35</v>
      </c>
    </row>
    <row r="203" spans="1:16" ht="15" x14ac:dyDescent="0.25">
      <c r="A203" s="2" t="s">
        <v>208</v>
      </c>
      <c r="B203" s="2" t="s">
        <v>651</v>
      </c>
      <c r="C203" s="2" t="s">
        <v>724</v>
      </c>
      <c r="D203" s="2" t="s">
        <v>754</v>
      </c>
      <c r="E203" s="2">
        <v>18</v>
      </c>
      <c r="F203" s="2" t="str" cm="1">
        <f t="array" ref="F203">_xlfn.IFS(Table1[[#This Row],[Age]]&lt;=16,"15-16",Table1[[#This Row],[Age]]&lt;19,"17-18")</f>
        <v>17-18</v>
      </c>
      <c r="G203" s="2" t="s">
        <v>758</v>
      </c>
      <c r="H203" s="3">
        <v>0.48799999999999999</v>
      </c>
      <c r="I203" s="3">
        <v>0.8859999999999999</v>
      </c>
      <c r="J203" s="3" t="str" cm="1">
        <f t="array" ref="J203">_xlfn.IFS(Table1[[#This Row],[Overall Attendance]]&gt;=0.6,"Good",Table1[[#This Row],[Overall Attendance]]&lt;0.6,"Bad")</f>
        <v>Good</v>
      </c>
      <c r="K203" s="4">
        <v>119127</v>
      </c>
      <c r="L203" s="4">
        <f t="shared" si="6"/>
        <v>1429524</v>
      </c>
      <c r="M203" s="4" t="str" cm="1">
        <f t="array" ref="M20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03" s="2">
        <v>6.9</v>
      </c>
      <c r="O203" s="2" t="str" cm="1">
        <f t="array" ref="O203">_xlfn.IFS(Table1[[#This Row],[Distance to School (km)]]&gt;=5,"Far",Table1[[#This Row],[Distance to School (km)]]&lt;5,"Near")</f>
        <v>Far</v>
      </c>
      <c r="P203" s="5">
        <f t="shared" si="7"/>
        <v>0.31300000000000006</v>
      </c>
    </row>
    <row r="204" spans="1:16" ht="15" x14ac:dyDescent="0.25">
      <c r="A204" s="2" t="s">
        <v>209</v>
      </c>
      <c r="B204" s="2" t="s">
        <v>655</v>
      </c>
      <c r="C204" s="2" t="s">
        <v>706</v>
      </c>
      <c r="D204" s="2" t="s">
        <v>754</v>
      </c>
      <c r="E204" s="2">
        <v>18</v>
      </c>
      <c r="F204" s="2" t="str" cm="1">
        <f t="array" ref="F204">_xlfn.IFS(Table1[[#This Row],[Age]]&lt;=16,"15-16",Table1[[#This Row],[Age]]&lt;19,"17-18")</f>
        <v>17-18</v>
      </c>
      <c r="G204" s="2" t="s">
        <v>758</v>
      </c>
      <c r="H204" s="3">
        <v>0.64</v>
      </c>
      <c r="I204" s="3">
        <v>0.94900000000000007</v>
      </c>
      <c r="J204" s="3" t="str" cm="1">
        <f t="array" ref="J204">_xlfn.IFS(Table1[[#This Row],[Overall Attendance]]&gt;=0.6,"Good",Table1[[#This Row],[Overall Attendance]]&lt;0.6,"Bad")</f>
        <v>Good</v>
      </c>
      <c r="K204" s="4">
        <v>172174</v>
      </c>
      <c r="L204" s="4">
        <f t="shared" si="6"/>
        <v>2066088</v>
      </c>
      <c r="M204" s="4" t="str" cm="1">
        <f t="array" ref="M20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04" s="2">
        <v>3.5</v>
      </c>
      <c r="O204" s="2" t="str" cm="1">
        <f t="array" ref="O204">_xlfn.IFS(Table1[[#This Row],[Distance to School (km)]]&gt;=5,"Far",Table1[[#This Row],[Distance to School (km)]]&lt;5,"Near")</f>
        <v>Near</v>
      </c>
      <c r="P204" s="5">
        <f t="shared" si="7"/>
        <v>0.20550000000000002</v>
      </c>
    </row>
    <row r="205" spans="1:16" ht="15" hidden="1" x14ac:dyDescent="0.25">
      <c r="A205" s="2" t="s">
        <v>210</v>
      </c>
      <c r="B205" s="2" t="s">
        <v>643</v>
      </c>
      <c r="C205" s="2" t="s">
        <v>697</v>
      </c>
      <c r="D205" s="2" t="s">
        <v>738</v>
      </c>
      <c r="E205" s="2">
        <v>15</v>
      </c>
      <c r="F205" s="2" t="str" cm="1">
        <f t="array" ref="F205">_xlfn.IFS(Table1[[#This Row],[Age]]&lt;=16,"15-16",Table1[[#This Row],[Age]]&lt;19,"17-18")</f>
        <v>15-16</v>
      </c>
      <c r="G205" s="2" t="s">
        <v>758</v>
      </c>
      <c r="H205" s="3">
        <v>0.64</v>
      </c>
      <c r="I205" s="3">
        <v>0.76200000000000001</v>
      </c>
      <c r="J205" s="3" t="str" cm="1">
        <f t="array" ref="J205">_xlfn.IFS(Table1[[#This Row],[Overall Attendance]]&gt;=0.6,"Good",Table1[[#This Row],[Overall Attendance]]&lt;0.6,"Bad")</f>
        <v>Good</v>
      </c>
      <c r="K205" s="4">
        <v>43603</v>
      </c>
      <c r="L205" s="4">
        <f t="shared" si="6"/>
        <v>523236</v>
      </c>
      <c r="M205" s="4" t="str" cm="1">
        <f t="array" ref="M20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05" s="2">
        <v>6.5</v>
      </c>
      <c r="O205" s="2" t="str" cm="1">
        <f t="array" ref="O205">_xlfn.IFS(Table1[[#This Row],[Distance to School (km)]]&gt;=5,"Far",Table1[[#This Row],[Distance to School (km)]]&lt;5,"Near")</f>
        <v>Far</v>
      </c>
      <c r="P205" s="5">
        <f t="shared" si="7"/>
        <v>0.29899999999999993</v>
      </c>
    </row>
    <row r="206" spans="1:16" ht="15" x14ac:dyDescent="0.25">
      <c r="A206" s="2" t="s">
        <v>211</v>
      </c>
      <c r="B206" s="2" t="s">
        <v>650</v>
      </c>
      <c r="C206" s="2" t="s">
        <v>687</v>
      </c>
      <c r="D206" s="2" t="s">
        <v>750</v>
      </c>
      <c r="E206" s="2">
        <v>17</v>
      </c>
      <c r="F206" s="2" t="str" cm="1">
        <f t="array" ref="F206">_xlfn.IFS(Table1[[#This Row],[Age]]&lt;=16,"15-16",Table1[[#This Row],[Age]]&lt;19,"17-18")</f>
        <v>17-18</v>
      </c>
      <c r="G206" s="2" t="s">
        <v>757</v>
      </c>
      <c r="H206" s="3">
        <v>0.73</v>
      </c>
      <c r="I206" s="3">
        <v>0.92700000000000005</v>
      </c>
      <c r="J206" s="3" t="str" cm="1">
        <f t="array" ref="J206">_xlfn.IFS(Table1[[#This Row],[Overall Attendance]]&gt;=0.6,"Good",Table1[[#This Row],[Overall Attendance]]&lt;0.6,"Bad")</f>
        <v>Good</v>
      </c>
      <c r="K206" s="4">
        <v>96346</v>
      </c>
      <c r="L206" s="4">
        <f t="shared" si="6"/>
        <v>1156152</v>
      </c>
      <c r="M206" s="4" t="str" cm="1">
        <f t="array" ref="M20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06" s="2">
        <v>6.3</v>
      </c>
      <c r="O206" s="2" t="str" cm="1">
        <f t="array" ref="O206">_xlfn.IFS(Table1[[#This Row],[Distance to School (km)]]&gt;=5,"Far",Table1[[#This Row],[Distance to School (km)]]&lt;5,"Near")</f>
        <v>Far</v>
      </c>
      <c r="P206" s="5">
        <f t="shared" si="7"/>
        <v>0.17149999999999999</v>
      </c>
    </row>
    <row r="207" spans="1:16" ht="15" x14ac:dyDescent="0.25">
      <c r="A207" s="2" t="s">
        <v>212</v>
      </c>
      <c r="B207" s="2" t="s">
        <v>653</v>
      </c>
      <c r="C207" s="2" t="s">
        <v>651</v>
      </c>
      <c r="D207" s="2" t="s">
        <v>668</v>
      </c>
      <c r="E207" s="2">
        <v>17</v>
      </c>
      <c r="F207" s="2" t="str" cm="1">
        <f t="array" ref="F207">_xlfn.IFS(Table1[[#This Row],[Age]]&lt;=16,"15-16",Table1[[#This Row],[Age]]&lt;19,"17-18")</f>
        <v>17-18</v>
      </c>
      <c r="G207" s="2" t="s">
        <v>757</v>
      </c>
      <c r="H207" s="3">
        <v>0.86299999999999999</v>
      </c>
      <c r="I207" s="3">
        <v>0.73099999999999998</v>
      </c>
      <c r="J207" s="3" t="str" cm="1">
        <f t="array" ref="J207">_xlfn.IFS(Table1[[#This Row],[Overall Attendance]]&gt;=0.6,"Good",Table1[[#This Row],[Overall Attendance]]&lt;0.6,"Bad")</f>
        <v>Good</v>
      </c>
      <c r="K207" s="4">
        <v>201734</v>
      </c>
      <c r="L207" s="4">
        <f t="shared" si="6"/>
        <v>2420808</v>
      </c>
      <c r="M207" s="4" t="str" cm="1">
        <f t="array" ref="M20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07" s="2">
        <v>0.6</v>
      </c>
      <c r="O207" s="2" t="str" cm="1">
        <f t="array" ref="O207">_xlfn.IFS(Table1[[#This Row],[Distance to School (km)]]&gt;=5,"Far",Table1[[#This Row],[Distance to School (km)]]&lt;5,"Near")</f>
        <v>Near</v>
      </c>
      <c r="P207" s="5">
        <f t="shared" si="7"/>
        <v>0.20300000000000007</v>
      </c>
    </row>
    <row r="208" spans="1:16" ht="15" x14ac:dyDescent="0.25">
      <c r="A208" s="2" t="s">
        <v>213</v>
      </c>
      <c r="B208" s="2" t="s">
        <v>642</v>
      </c>
      <c r="C208" s="2" t="s">
        <v>725</v>
      </c>
      <c r="D208" s="2" t="s">
        <v>646</v>
      </c>
      <c r="E208" s="2">
        <v>17</v>
      </c>
      <c r="F208" s="2" t="str" cm="1">
        <f t="array" ref="F208">_xlfn.IFS(Table1[[#This Row],[Age]]&lt;=16,"15-16",Table1[[#This Row],[Age]]&lt;19,"17-18")</f>
        <v>17-18</v>
      </c>
      <c r="G208" s="2" t="s">
        <v>758</v>
      </c>
      <c r="H208" s="3">
        <v>0.52</v>
      </c>
      <c r="I208" s="3">
        <v>0.65900000000000003</v>
      </c>
      <c r="J208" s="3" t="str" cm="1">
        <f t="array" ref="J208">_xlfn.IFS(Table1[[#This Row],[Overall Attendance]]&gt;=0.6,"Good",Table1[[#This Row],[Overall Attendance]]&lt;0.6,"Bad")</f>
        <v>Good</v>
      </c>
      <c r="K208" s="4">
        <v>61749</v>
      </c>
      <c r="L208" s="4">
        <f t="shared" si="6"/>
        <v>740988</v>
      </c>
      <c r="M208" s="4" t="str" cm="1">
        <f t="array" ref="M20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08" s="2">
        <v>3.3</v>
      </c>
      <c r="O208" s="2" t="str" cm="1">
        <f t="array" ref="O208">_xlfn.IFS(Table1[[#This Row],[Distance to School (km)]]&gt;=5,"Far",Table1[[#This Row],[Distance to School (km)]]&lt;5,"Near")</f>
        <v>Near</v>
      </c>
      <c r="P208" s="5">
        <f t="shared" si="7"/>
        <v>0.41049999999999998</v>
      </c>
    </row>
    <row r="209" spans="1:16" ht="15" hidden="1" x14ac:dyDescent="0.25">
      <c r="A209" s="2" t="s">
        <v>214</v>
      </c>
      <c r="B209" s="2" t="s">
        <v>673</v>
      </c>
      <c r="C209" s="2" t="s">
        <v>704</v>
      </c>
      <c r="D209" s="2" t="s">
        <v>742</v>
      </c>
      <c r="E209" s="2">
        <v>15</v>
      </c>
      <c r="F209" s="2" t="str" cm="1">
        <f t="array" ref="F209">_xlfn.IFS(Table1[[#This Row],[Age]]&lt;=16,"15-16",Table1[[#This Row],[Age]]&lt;19,"17-18")</f>
        <v>15-16</v>
      </c>
      <c r="G209" s="2" t="s">
        <v>758</v>
      </c>
      <c r="H209" s="3">
        <v>0.53400000000000003</v>
      </c>
      <c r="I209" s="3">
        <v>0.89300000000000002</v>
      </c>
      <c r="J209" s="3" t="str" cm="1">
        <f t="array" ref="J209">_xlfn.IFS(Table1[[#This Row],[Overall Attendance]]&gt;=0.6,"Good",Table1[[#This Row],[Overall Attendance]]&lt;0.6,"Bad")</f>
        <v>Good</v>
      </c>
      <c r="K209" s="4">
        <v>191389</v>
      </c>
      <c r="L209" s="4">
        <f t="shared" si="6"/>
        <v>2296668</v>
      </c>
      <c r="M209" s="4" t="str" cm="1">
        <f t="array" ref="M20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09" s="2">
        <v>8.4</v>
      </c>
      <c r="O209" s="2" t="str" cm="1">
        <f t="array" ref="O209">_xlfn.IFS(Table1[[#This Row],[Distance to School (km)]]&gt;=5,"Far",Table1[[#This Row],[Distance to School (km)]]&lt;5,"Near")</f>
        <v>Far</v>
      </c>
      <c r="P209" s="5">
        <f t="shared" si="7"/>
        <v>0.28649999999999998</v>
      </c>
    </row>
    <row r="210" spans="1:16" ht="15" x14ac:dyDescent="0.25">
      <c r="A210" s="2" t="s">
        <v>215</v>
      </c>
      <c r="B210" s="2" t="s">
        <v>673</v>
      </c>
      <c r="C210" s="2" t="s">
        <v>703</v>
      </c>
      <c r="D210" s="2" t="s">
        <v>755</v>
      </c>
      <c r="E210" s="2">
        <v>18</v>
      </c>
      <c r="F210" s="2" t="str" cm="1">
        <f t="array" ref="F210">_xlfn.IFS(Table1[[#This Row],[Age]]&lt;=16,"15-16",Table1[[#This Row],[Age]]&lt;19,"17-18")</f>
        <v>17-18</v>
      </c>
      <c r="G210" s="2" t="s">
        <v>757</v>
      </c>
      <c r="H210" s="3">
        <v>0.52200000000000002</v>
      </c>
      <c r="I210" s="3">
        <v>0.89900000000000002</v>
      </c>
      <c r="J210" s="3" t="str" cm="1">
        <f t="array" ref="J210">_xlfn.IFS(Table1[[#This Row],[Overall Attendance]]&gt;=0.6,"Good",Table1[[#This Row],[Overall Attendance]]&lt;0.6,"Bad")</f>
        <v>Good</v>
      </c>
      <c r="K210" s="4">
        <v>40864</v>
      </c>
      <c r="L210" s="4">
        <f t="shared" si="6"/>
        <v>490368</v>
      </c>
      <c r="M210" s="4" t="str" cm="1">
        <f t="array" ref="M21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10" s="2">
        <v>6.2</v>
      </c>
      <c r="O210" s="2" t="str" cm="1">
        <f t="array" ref="O210">_xlfn.IFS(Table1[[#This Row],[Distance to School (km)]]&gt;=5,"Far",Table1[[#This Row],[Distance to School (km)]]&lt;5,"Near")</f>
        <v>Far</v>
      </c>
      <c r="P210" s="5">
        <f t="shared" si="7"/>
        <v>0.28949999999999998</v>
      </c>
    </row>
    <row r="211" spans="1:16" ht="15" hidden="1" x14ac:dyDescent="0.25">
      <c r="A211" s="2" t="s">
        <v>216</v>
      </c>
      <c r="B211" s="2" t="s">
        <v>680</v>
      </c>
      <c r="C211" s="2" t="s">
        <v>734</v>
      </c>
      <c r="D211" s="2" t="s">
        <v>756</v>
      </c>
      <c r="E211" s="2">
        <v>15</v>
      </c>
      <c r="F211" s="2" t="str" cm="1">
        <f t="array" ref="F211">_xlfn.IFS(Table1[[#This Row],[Age]]&lt;=16,"15-16",Table1[[#This Row],[Age]]&lt;19,"17-18")</f>
        <v>15-16</v>
      </c>
      <c r="G211" s="2" t="s">
        <v>758</v>
      </c>
      <c r="H211" s="3">
        <v>0.69599999999999995</v>
      </c>
      <c r="I211" s="3">
        <v>0.78500000000000003</v>
      </c>
      <c r="J211" s="3" t="str" cm="1">
        <f t="array" ref="J211">_xlfn.IFS(Table1[[#This Row],[Overall Attendance]]&gt;=0.6,"Good",Table1[[#This Row],[Overall Attendance]]&lt;0.6,"Bad")</f>
        <v>Good</v>
      </c>
      <c r="K211" s="4">
        <v>174290</v>
      </c>
      <c r="L211" s="4">
        <f t="shared" si="6"/>
        <v>2091480</v>
      </c>
      <c r="M211" s="4" t="str" cm="1">
        <f t="array" ref="M21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11" s="2">
        <v>1</v>
      </c>
      <c r="O211" s="2" t="str" cm="1">
        <f t="array" ref="O211">_xlfn.IFS(Table1[[#This Row],[Distance to School (km)]]&gt;=5,"Far",Table1[[#This Row],[Distance to School (km)]]&lt;5,"Near")</f>
        <v>Near</v>
      </c>
      <c r="P211" s="5">
        <f t="shared" si="7"/>
        <v>0.25950000000000006</v>
      </c>
    </row>
    <row r="212" spans="1:16" ht="15" x14ac:dyDescent="0.25">
      <c r="A212" s="2" t="s">
        <v>217</v>
      </c>
      <c r="B212" s="2" t="s">
        <v>675</v>
      </c>
      <c r="C212" s="2" t="s">
        <v>694</v>
      </c>
      <c r="D212" s="2" t="s">
        <v>668</v>
      </c>
      <c r="E212" s="2">
        <v>18</v>
      </c>
      <c r="F212" s="2" t="str" cm="1">
        <f t="array" ref="F212">_xlfn.IFS(Table1[[#This Row],[Age]]&lt;=16,"15-16",Table1[[#This Row],[Age]]&lt;19,"17-18")</f>
        <v>17-18</v>
      </c>
      <c r="G212" s="2" t="s">
        <v>758</v>
      </c>
      <c r="H212" s="3">
        <v>0.89</v>
      </c>
      <c r="I212" s="3">
        <v>0.86699999999999999</v>
      </c>
      <c r="J212" s="3" t="str" cm="1">
        <f t="array" ref="J212">_xlfn.IFS(Table1[[#This Row],[Overall Attendance]]&gt;=0.6,"Good",Table1[[#This Row],[Overall Attendance]]&lt;0.6,"Bad")</f>
        <v>Good</v>
      </c>
      <c r="K212" s="4">
        <v>751027</v>
      </c>
      <c r="L212" s="4">
        <f t="shared" si="6"/>
        <v>9012324</v>
      </c>
      <c r="M212" s="4" t="str" cm="1">
        <f t="array" ref="M212">_xlfn.IFS(Table1[[#This Row],[Family Income per Year]]&gt;=5000000,"High Income",Table1[[#This Row],[Family Income per Year]]&gt;=1000000,"Middle Income",Table1[[#This Row],[Family Income per Year]]&lt;1000000,"Low Income")</f>
        <v>High Income</v>
      </c>
      <c r="N212" s="2">
        <v>9.1999999999999993</v>
      </c>
      <c r="O212" s="2" t="str" cm="1">
        <f t="array" ref="O212">_xlfn.IFS(Table1[[#This Row],[Distance to School (km)]]&gt;=5,"Far",Table1[[#This Row],[Distance to School (km)]]&lt;5,"Near")</f>
        <v>Far</v>
      </c>
      <c r="P212" s="5">
        <f t="shared" si="7"/>
        <v>0.12149999999999994</v>
      </c>
    </row>
    <row r="213" spans="1:16" ht="15" hidden="1" x14ac:dyDescent="0.25">
      <c r="A213" s="2" t="s">
        <v>218</v>
      </c>
      <c r="B213" s="2" t="s">
        <v>643</v>
      </c>
      <c r="C213" s="2" t="s">
        <v>710</v>
      </c>
      <c r="D213" s="2" t="s">
        <v>747</v>
      </c>
      <c r="E213" s="2">
        <v>16</v>
      </c>
      <c r="F213" s="2" t="str" cm="1">
        <f t="array" ref="F213">_xlfn.IFS(Table1[[#This Row],[Age]]&lt;=16,"15-16",Table1[[#This Row],[Age]]&lt;19,"17-18")</f>
        <v>15-16</v>
      </c>
      <c r="G213" s="2" t="s">
        <v>757</v>
      </c>
      <c r="H213" s="3">
        <v>0.63400000000000001</v>
      </c>
      <c r="I213" s="3">
        <v>0.98</v>
      </c>
      <c r="J213" s="3" t="str" cm="1">
        <f t="array" ref="J213">_xlfn.IFS(Table1[[#This Row],[Overall Attendance]]&gt;=0.6,"Good",Table1[[#This Row],[Overall Attendance]]&lt;0.6,"Bad")</f>
        <v>Good</v>
      </c>
      <c r="K213" s="4">
        <v>286961</v>
      </c>
      <c r="L213" s="4">
        <f t="shared" si="6"/>
        <v>3443532</v>
      </c>
      <c r="M213" s="4" t="str" cm="1">
        <f t="array" ref="M21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13" s="2">
        <v>9.1999999999999993</v>
      </c>
      <c r="O213" s="2" t="str" cm="1">
        <f t="array" ref="O213">_xlfn.IFS(Table1[[#This Row],[Distance to School (km)]]&gt;=5,"Far",Table1[[#This Row],[Distance to School (km)]]&lt;5,"Near")</f>
        <v>Far</v>
      </c>
      <c r="P213" s="5">
        <f t="shared" si="7"/>
        <v>0.19300000000000006</v>
      </c>
    </row>
    <row r="214" spans="1:16" ht="15" x14ac:dyDescent="0.25">
      <c r="A214" s="2" t="s">
        <v>219</v>
      </c>
      <c r="B214" s="2" t="s">
        <v>646</v>
      </c>
      <c r="C214" s="2" t="s">
        <v>730</v>
      </c>
      <c r="D214" s="2" t="s">
        <v>745</v>
      </c>
      <c r="E214" s="2">
        <v>17</v>
      </c>
      <c r="F214" s="2" t="str" cm="1">
        <f t="array" ref="F214">_xlfn.IFS(Table1[[#This Row],[Age]]&lt;=16,"15-16",Table1[[#This Row],[Age]]&lt;19,"17-18")</f>
        <v>17-18</v>
      </c>
      <c r="G214" s="2" t="s">
        <v>757</v>
      </c>
      <c r="H214" s="3">
        <v>0.69099999999999995</v>
      </c>
      <c r="I214" s="3">
        <v>0.86199999999999999</v>
      </c>
      <c r="J214" s="3" t="str" cm="1">
        <f t="array" ref="J214">_xlfn.IFS(Table1[[#This Row],[Overall Attendance]]&gt;=0.6,"Good",Table1[[#This Row],[Overall Attendance]]&lt;0.6,"Bad")</f>
        <v>Good</v>
      </c>
      <c r="K214" s="4">
        <v>360922</v>
      </c>
      <c r="L214" s="4">
        <f t="shared" si="6"/>
        <v>4331064</v>
      </c>
      <c r="M214" s="4" t="str" cm="1">
        <f t="array" ref="M21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14" s="2">
        <v>11.6</v>
      </c>
      <c r="O214" s="2" t="str" cm="1">
        <f t="array" ref="O214">_xlfn.IFS(Table1[[#This Row],[Distance to School (km)]]&gt;=5,"Far",Table1[[#This Row],[Distance to School (km)]]&lt;5,"Near")</f>
        <v>Far</v>
      </c>
      <c r="P214" s="5">
        <f t="shared" si="7"/>
        <v>0.22350000000000003</v>
      </c>
    </row>
    <row r="215" spans="1:16" ht="15" x14ac:dyDescent="0.25">
      <c r="A215" s="2" t="s">
        <v>220</v>
      </c>
      <c r="B215" s="2" t="s">
        <v>641</v>
      </c>
      <c r="C215" s="2" t="s">
        <v>700</v>
      </c>
      <c r="D215" s="2" t="s">
        <v>744</v>
      </c>
      <c r="E215" s="2">
        <v>17</v>
      </c>
      <c r="F215" s="2" t="str" cm="1">
        <f t="array" ref="F215">_xlfn.IFS(Table1[[#This Row],[Age]]&lt;=16,"15-16",Table1[[#This Row],[Age]]&lt;19,"17-18")</f>
        <v>17-18</v>
      </c>
      <c r="G215" s="2" t="s">
        <v>757</v>
      </c>
      <c r="H215" s="3">
        <v>0.50800000000000001</v>
      </c>
      <c r="I215" s="3">
        <v>0.82599999999999996</v>
      </c>
      <c r="J215" s="3" t="str" cm="1">
        <f t="array" ref="J215">_xlfn.IFS(Table1[[#This Row],[Overall Attendance]]&gt;=0.6,"Good",Table1[[#This Row],[Overall Attendance]]&lt;0.6,"Bad")</f>
        <v>Good</v>
      </c>
      <c r="K215" s="4">
        <v>378178</v>
      </c>
      <c r="L215" s="4">
        <f t="shared" si="6"/>
        <v>4538136</v>
      </c>
      <c r="M215" s="4" t="str" cm="1">
        <f t="array" ref="M21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15" s="2">
        <v>1.5</v>
      </c>
      <c r="O215" s="2" t="str" cm="1">
        <f t="array" ref="O215">_xlfn.IFS(Table1[[#This Row],[Distance to School (km)]]&gt;=5,"Far",Table1[[#This Row],[Distance to School (km)]]&lt;5,"Near")</f>
        <v>Near</v>
      </c>
      <c r="P215" s="5">
        <f t="shared" si="7"/>
        <v>0.33299999999999996</v>
      </c>
    </row>
    <row r="216" spans="1:16" ht="15" hidden="1" x14ac:dyDescent="0.25">
      <c r="A216" s="2" t="s">
        <v>221</v>
      </c>
      <c r="B216" s="2" t="s">
        <v>679</v>
      </c>
      <c r="C216" s="2" t="s">
        <v>656</v>
      </c>
      <c r="D216" s="2" t="s">
        <v>742</v>
      </c>
      <c r="E216" s="2">
        <v>15</v>
      </c>
      <c r="F216" s="2" t="str" cm="1">
        <f t="array" ref="F216">_xlfn.IFS(Table1[[#This Row],[Age]]&lt;=16,"15-16",Table1[[#This Row],[Age]]&lt;19,"17-18")</f>
        <v>15-16</v>
      </c>
      <c r="G216" s="2" t="s">
        <v>757</v>
      </c>
      <c r="H216" s="3">
        <v>0.60699999999999998</v>
      </c>
      <c r="I216" s="3">
        <v>0.91700000000000004</v>
      </c>
      <c r="J216" s="3" t="str" cm="1">
        <f t="array" ref="J216">_xlfn.IFS(Table1[[#This Row],[Overall Attendance]]&gt;=0.6,"Good",Table1[[#This Row],[Overall Attendance]]&lt;0.6,"Bad")</f>
        <v>Good</v>
      </c>
      <c r="K216" s="4">
        <v>393897</v>
      </c>
      <c r="L216" s="4">
        <f t="shared" si="6"/>
        <v>4726764</v>
      </c>
      <c r="M216" s="4" t="str" cm="1">
        <f t="array" ref="M21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16" s="2">
        <v>4.0999999999999996</v>
      </c>
      <c r="O216" s="2" t="str" cm="1">
        <f t="array" ref="O216">_xlfn.IFS(Table1[[#This Row],[Distance to School (km)]]&gt;=5,"Far",Table1[[#This Row],[Distance to School (km)]]&lt;5,"Near")</f>
        <v>Near</v>
      </c>
      <c r="P216" s="5">
        <f t="shared" si="7"/>
        <v>0.23799999999999999</v>
      </c>
    </row>
    <row r="217" spans="1:16" ht="15" x14ac:dyDescent="0.25">
      <c r="A217" s="2" t="s">
        <v>222</v>
      </c>
      <c r="B217" s="2" t="s">
        <v>676</v>
      </c>
      <c r="C217" s="2" t="s">
        <v>685</v>
      </c>
      <c r="D217" s="2" t="s">
        <v>744</v>
      </c>
      <c r="E217" s="2">
        <v>18</v>
      </c>
      <c r="F217" s="2" t="str" cm="1">
        <f t="array" ref="F217">_xlfn.IFS(Table1[[#This Row],[Age]]&lt;=16,"15-16",Table1[[#This Row],[Age]]&lt;19,"17-18")</f>
        <v>17-18</v>
      </c>
      <c r="G217" s="2" t="s">
        <v>757</v>
      </c>
      <c r="H217" s="3">
        <v>0.55899999999999994</v>
      </c>
      <c r="I217" s="3">
        <v>0.88099999999999989</v>
      </c>
      <c r="J217" s="3" t="str" cm="1">
        <f t="array" ref="J217">_xlfn.IFS(Table1[[#This Row],[Overall Attendance]]&gt;=0.6,"Good",Table1[[#This Row],[Overall Attendance]]&lt;0.6,"Bad")</f>
        <v>Good</v>
      </c>
      <c r="K217" s="4">
        <v>312979</v>
      </c>
      <c r="L217" s="4">
        <f t="shared" si="6"/>
        <v>3755748</v>
      </c>
      <c r="M217" s="4" t="str" cm="1">
        <f t="array" ref="M21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17" s="2">
        <v>6.9</v>
      </c>
      <c r="O217" s="2" t="str" cm="1">
        <f t="array" ref="O217">_xlfn.IFS(Table1[[#This Row],[Distance to School (km)]]&gt;=5,"Far",Table1[[#This Row],[Distance to School (km)]]&lt;5,"Near")</f>
        <v>Far</v>
      </c>
      <c r="P217" s="5">
        <f t="shared" si="7"/>
        <v>0.28000000000000003</v>
      </c>
    </row>
    <row r="218" spans="1:16" ht="15" hidden="1" x14ac:dyDescent="0.25">
      <c r="A218" s="2" t="s">
        <v>223</v>
      </c>
      <c r="B218" s="2" t="s">
        <v>670</v>
      </c>
      <c r="C218" s="2" t="s">
        <v>685</v>
      </c>
      <c r="D218" s="2" t="s">
        <v>749</v>
      </c>
      <c r="E218" s="2">
        <v>15</v>
      </c>
      <c r="F218" s="2" t="str" cm="1">
        <f t="array" ref="F218">_xlfn.IFS(Table1[[#This Row],[Age]]&lt;=16,"15-16",Table1[[#This Row],[Age]]&lt;19,"17-18")</f>
        <v>15-16</v>
      </c>
      <c r="G218" s="2" t="s">
        <v>757</v>
      </c>
      <c r="H218" s="3">
        <v>0.46799999999999997</v>
      </c>
      <c r="I218" s="3">
        <v>0.77500000000000002</v>
      </c>
      <c r="J218" s="3" t="str" cm="1">
        <f t="array" ref="J218">_xlfn.IFS(Table1[[#This Row],[Overall Attendance]]&gt;=0.6,"Good",Table1[[#This Row],[Overall Attendance]]&lt;0.6,"Bad")</f>
        <v>Good</v>
      </c>
      <c r="K218" s="4">
        <v>150494</v>
      </c>
      <c r="L218" s="4">
        <f t="shared" si="6"/>
        <v>1805928</v>
      </c>
      <c r="M218" s="4" t="str" cm="1">
        <f t="array" ref="M21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18" s="2">
        <v>5.3</v>
      </c>
      <c r="O218" s="2" t="str" cm="1">
        <f t="array" ref="O218">_xlfn.IFS(Table1[[#This Row],[Distance to School (km)]]&gt;=5,"Far",Table1[[#This Row],[Distance to School (km)]]&lt;5,"Near")</f>
        <v>Far</v>
      </c>
      <c r="P218" s="5">
        <f t="shared" si="7"/>
        <v>0.37850000000000006</v>
      </c>
    </row>
    <row r="219" spans="1:16" ht="15" x14ac:dyDescent="0.25">
      <c r="A219" s="2" t="s">
        <v>224</v>
      </c>
      <c r="B219" s="2" t="s">
        <v>652</v>
      </c>
      <c r="C219" s="2" t="s">
        <v>676</v>
      </c>
      <c r="D219" s="2" t="s">
        <v>752</v>
      </c>
      <c r="E219" s="2">
        <v>18</v>
      </c>
      <c r="F219" s="2" t="str" cm="1">
        <f t="array" ref="F219">_xlfn.IFS(Table1[[#This Row],[Age]]&lt;=16,"15-16",Table1[[#This Row],[Age]]&lt;19,"17-18")</f>
        <v>17-18</v>
      </c>
      <c r="G219" s="2" t="s">
        <v>757</v>
      </c>
      <c r="H219" s="3">
        <v>0.59099999999999997</v>
      </c>
      <c r="I219" s="3">
        <v>0.76400000000000001</v>
      </c>
      <c r="J219" s="3" t="str" cm="1">
        <f t="array" ref="J219">_xlfn.IFS(Table1[[#This Row],[Overall Attendance]]&gt;=0.6,"Good",Table1[[#This Row],[Overall Attendance]]&lt;0.6,"Bad")</f>
        <v>Good</v>
      </c>
      <c r="K219" s="4">
        <v>69735</v>
      </c>
      <c r="L219" s="4">
        <f t="shared" si="6"/>
        <v>836820</v>
      </c>
      <c r="M219" s="4" t="str" cm="1">
        <f t="array" ref="M21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19" s="2">
        <v>1.2</v>
      </c>
      <c r="O219" s="2" t="str" cm="1">
        <f t="array" ref="O219">_xlfn.IFS(Table1[[#This Row],[Distance to School (km)]]&gt;=5,"Far",Table1[[#This Row],[Distance to School (km)]]&lt;5,"Near")</f>
        <v>Near</v>
      </c>
      <c r="P219" s="5">
        <f t="shared" si="7"/>
        <v>0.32250000000000001</v>
      </c>
    </row>
    <row r="220" spans="1:16" ht="15" hidden="1" x14ac:dyDescent="0.25">
      <c r="A220" s="2" t="s">
        <v>225</v>
      </c>
      <c r="B220" s="2" t="s">
        <v>676</v>
      </c>
      <c r="C220" s="2" t="s">
        <v>698</v>
      </c>
      <c r="D220" s="2" t="s">
        <v>753</v>
      </c>
      <c r="E220" s="2">
        <v>16</v>
      </c>
      <c r="F220" s="2" t="str" cm="1">
        <f t="array" ref="F220">_xlfn.IFS(Table1[[#This Row],[Age]]&lt;=16,"15-16",Table1[[#This Row],[Age]]&lt;19,"17-18")</f>
        <v>15-16</v>
      </c>
      <c r="G220" s="2" t="s">
        <v>758</v>
      </c>
      <c r="H220" s="3">
        <v>0.64300000000000002</v>
      </c>
      <c r="I220" s="3">
        <v>0.72699999999999998</v>
      </c>
      <c r="J220" s="3" t="str" cm="1">
        <f t="array" ref="J220">_xlfn.IFS(Table1[[#This Row],[Overall Attendance]]&gt;=0.6,"Good",Table1[[#This Row],[Overall Attendance]]&lt;0.6,"Bad")</f>
        <v>Good</v>
      </c>
      <c r="K220" s="4">
        <v>97245</v>
      </c>
      <c r="L220" s="4">
        <f t="shared" si="6"/>
        <v>1166940</v>
      </c>
      <c r="M220" s="4" t="str" cm="1">
        <f t="array" ref="M22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20" s="2">
        <v>5.8</v>
      </c>
      <c r="O220" s="2" t="str" cm="1">
        <f t="array" ref="O220">_xlfn.IFS(Table1[[#This Row],[Distance to School (km)]]&gt;=5,"Far",Table1[[#This Row],[Distance to School (km)]]&lt;5,"Near")</f>
        <v>Far</v>
      </c>
      <c r="P220" s="5">
        <f t="shared" si="7"/>
        <v>0.31499999999999995</v>
      </c>
    </row>
    <row r="221" spans="1:16" ht="15" hidden="1" x14ac:dyDescent="0.25">
      <c r="A221" s="2" t="s">
        <v>226</v>
      </c>
      <c r="B221" s="2" t="s">
        <v>673</v>
      </c>
      <c r="C221" s="2" t="s">
        <v>725</v>
      </c>
      <c r="D221" s="2" t="s">
        <v>754</v>
      </c>
      <c r="E221" s="2">
        <v>16</v>
      </c>
      <c r="F221" s="2" t="str" cm="1">
        <f t="array" ref="F221">_xlfn.IFS(Table1[[#This Row],[Age]]&lt;=16,"15-16",Table1[[#This Row],[Age]]&lt;19,"17-18")</f>
        <v>15-16</v>
      </c>
      <c r="G221" s="2" t="s">
        <v>758</v>
      </c>
      <c r="H221" s="3">
        <v>0.68400000000000005</v>
      </c>
      <c r="I221" s="3">
        <v>0.73799999999999999</v>
      </c>
      <c r="J221" s="3" t="str" cm="1">
        <f t="array" ref="J221">_xlfn.IFS(Table1[[#This Row],[Overall Attendance]]&gt;=0.6,"Good",Table1[[#This Row],[Overall Attendance]]&lt;0.6,"Bad")</f>
        <v>Good</v>
      </c>
      <c r="K221" s="4">
        <v>287750</v>
      </c>
      <c r="L221" s="4">
        <f t="shared" si="6"/>
        <v>3453000</v>
      </c>
      <c r="M221" s="4" t="str" cm="1">
        <f t="array" ref="M22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21" s="2">
        <v>9.9</v>
      </c>
      <c r="O221" s="2" t="str" cm="1">
        <f t="array" ref="O221">_xlfn.IFS(Table1[[#This Row],[Distance to School (km)]]&gt;=5,"Far",Table1[[#This Row],[Distance to School (km)]]&lt;5,"Near")</f>
        <v>Far</v>
      </c>
      <c r="P221" s="5">
        <f t="shared" si="7"/>
        <v>0.28899999999999992</v>
      </c>
    </row>
    <row r="222" spans="1:16" ht="15" hidden="1" x14ac:dyDescent="0.25">
      <c r="A222" s="2" t="s">
        <v>227</v>
      </c>
      <c r="B222" s="2" t="s">
        <v>658</v>
      </c>
      <c r="C222" s="2" t="s">
        <v>722</v>
      </c>
      <c r="D222" s="2" t="s">
        <v>646</v>
      </c>
      <c r="E222" s="2">
        <v>16</v>
      </c>
      <c r="F222" s="2" t="str" cm="1">
        <f t="array" ref="F222">_xlfn.IFS(Table1[[#This Row],[Age]]&lt;=16,"15-16",Table1[[#This Row],[Age]]&lt;19,"17-18")</f>
        <v>15-16</v>
      </c>
      <c r="G222" s="2" t="s">
        <v>758</v>
      </c>
      <c r="H222" s="3">
        <v>0.65200000000000002</v>
      </c>
      <c r="I222" s="3">
        <v>0.90300000000000002</v>
      </c>
      <c r="J222" s="3" t="str" cm="1">
        <f t="array" ref="J222">_xlfn.IFS(Table1[[#This Row],[Overall Attendance]]&gt;=0.6,"Good",Table1[[#This Row],[Overall Attendance]]&lt;0.6,"Bad")</f>
        <v>Good</v>
      </c>
      <c r="K222" s="4">
        <v>392643</v>
      </c>
      <c r="L222" s="4">
        <f t="shared" si="6"/>
        <v>4711716</v>
      </c>
      <c r="M222" s="4" t="str" cm="1">
        <f t="array" ref="M22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22" s="2">
        <v>11.6</v>
      </c>
      <c r="O222" s="2" t="str" cm="1">
        <f t="array" ref="O222">_xlfn.IFS(Table1[[#This Row],[Distance to School (km)]]&gt;=5,"Far",Table1[[#This Row],[Distance to School (km)]]&lt;5,"Near")</f>
        <v>Far</v>
      </c>
      <c r="P222" s="5">
        <f t="shared" si="7"/>
        <v>0.22249999999999992</v>
      </c>
    </row>
    <row r="223" spans="1:16" ht="15" x14ac:dyDescent="0.25">
      <c r="A223" s="2" t="s">
        <v>228</v>
      </c>
      <c r="B223" s="2" t="s">
        <v>641</v>
      </c>
      <c r="C223" s="2" t="s">
        <v>691</v>
      </c>
      <c r="D223" s="2" t="s">
        <v>755</v>
      </c>
      <c r="E223" s="2">
        <v>18</v>
      </c>
      <c r="F223" s="2" t="str" cm="1">
        <f t="array" ref="F223">_xlfn.IFS(Table1[[#This Row],[Age]]&lt;=16,"15-16",Table1[[#This Row],[Age]]&lt;19,"17-18")</f>
        <v>17-18</v>
      </c>
      <c r="G223" s="2" t="s">
        <v>758</v>
      </c>
      <c r="H223" s="3">
        <v>0.436</v>
      </c>
      <c r="I223" s="3">
        <v>0.98</v>
      </c>
      <c r="J223" s="3" t="str" cm="1">
        <f t="array" ref="J223">_xlfn.IFS(Table1[[#This Row],[Overall Attendance]]&gt;=0.6,"Good",Table1[[#This Row],[Overall Attendance]]&lt;0.6,"Bad")</f>
        <v>Good</v>
      </c>
      <c r="K223" s="4">
        <v>26547</v>
      </c>
      <c r="L223" s="4">
        <f t="shared" si="6"/>
        <v>318564</v>
      </c>
      <c r="M223" s="4" t="str" cm="1">
        <f t="array" ref="M22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23" s="2">
        <v>11.5</v>
      </c>
      <c r="O223" s="2" t="str" cm="1">
        <f t="array" ref="O223">_xlfn.IFS(Table1[[#This Row],[Distance to School (km)]]&gt;=5,"Far",Table1[[#This Row],[Distance to School (km)]]&lt;5,"Near")</f>
        <v>Far</v>
      </c>
      <c r="P223" s="5">
        <f t="shared" si="7"/>
        <v>0.29200000000000004</v>
      </c>
    </row>
    <row r="224" spans="1:16" ht="15" hidden="1" x14ac:dyDescent="0.25">
      <c r="A224" s="2" t="s">
        <v>229</v>
      </c>
      <c r="B224" s="2" t="s">
        <v>683</v>
      </c>
      <c r="C224" s="2" t="s">
        <v>690</v>
      </c>
      <c r="D224" s="2" t="s">
        <v>646</v>
      </c>
      <c r="E224" s="2">
        <v>16</v>
      </c>
      <c r="F224" s="2" t="str" cm="1">
        <f t="array" ref="F224">_xlfn.IFS(Table1[[#This Row],[Age]]&lt;=16,"15-16",Table1[[#This Row],[Age]]&lt;19,"17-18")</f>
        <v>15-16</v>
      </c>
      <c r="G224" s="2" t="s">
        <v>757</v>
      </c>
      <c r="H224" s="3">
        <v>0.83099999999999996</v>
      </c>
      <c r="I224" s="3">
        <v>0.90200000000000002</v>
      </c>
      <c r="J224" s="3" t="str" cm="1">
        <f t="array" ref="J224">_xlfn.IFS(Table1[[#This Row],[Overall Attendance]]&gt;=0.6,"Good",Table1[[#This Row],[Overall Attendance]]&lt;0.6,"Bad")</f>
        <v>Good</v>
      </c>
      <c r="K224" s="4">
        <v>576814</v>
      </c>
      <c r="L224" s="4">
        <f t="shared" si="6"/>
        <v>6921768</v>
      </c>
      <c r="M224" s="4" t="str" cm="1">
        <f t="array" ref="M224">_xlfn.IFS(Table1[[#This Row],[Family Income per Year]]&gt;=5000000,"High Income",Table1[[#This Row],[Family Income per Year]]&gt;=1000000,"Middle Income",Table1[[#This Row],[Family Income per Year]]&lt;1000000,"Low Income")</f>
        <v>High Income</v>
      </c>
      <c r="N224" s="2">
        <v>7.8</v>
      </c>
      <c r="O224" s="2" t="str" cm="1">
        <f t="array" ref="O224">_xlfn.IFS(Table1[[#This Row],[Distance to School (km)]]&gt;=5,"Far",Table1[[#This Row],[Distance to School (km)]]&lt;5,"Near")</f>
        <v>Far</v>
      </c>
      <c r="P224" s="5">
        <f t="shared" si="7"/>
        <v>0.13349999999999995</v>
      </c>
    </row>
    <row r="225" spans="1:16" ht="15" x14ac:dyDescent="0.25">
      <c r="A225" s="2" t="s">
        <v>230</v>
      </c>
      <c r="B225" s="2" t="s">
        <v>662</v>
      </c>
      <c r="C225" s="2" t="s">
        <v>723</v>
      </c>
      <c r="D225" s="2" t="s">
        <v>646</v>
      </c>
      <c r="E225" s="2">
        <v>18</v>
      </c>
      <c r="F225" s="2" t="str" cm="1">
        <f t="array" ref="F225">_xlfn.IFS(Table1[[#This Row],[Age]]&lt;=16,"15-16",Table1[[#This Row],[Age]]&lt;19,"17-18")</f>
        <v>17-18</v>
      </c>
      <c r="G225" s="2" t="s">
        <v>758</v>
      </c>
      <c r="H225" s="3">
        <v>0.51700000000000002</v>
      </c>
      <c r="I225" s="3">
        <v>0.86499999999999999</v>
      </c>
      <c r="J225" s="3" t="str" cm="1">
        <f t="array" ref="J225">_xlfn.IFS(Table1[[#This Row],[Overall Attendance]]&gt;=0.6,"Good",Table1[[#This Row],[Overall Attendance]]&lt;0.6,"Bad")</f>
        <v>Good</v>
      </c>
      <c r="K225" s="4">
        <v>352632</v>
      </c>
      <c r="L225" s="4">
        <f t="shared" si="6"/>
        <v>4231584</v>
      </c>
      <c r="M225" s="4" t="str" cm="1">
        <f t="array" ref="M22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25" s="2">
        <v>6.6</v>
      </c>
      <c r="O225" s="2" t="str" cm="1">
        <f t="array" ref="O225">_xlfn.IFS(Table1[[#This Row],[Distance to School (km)]]&gt;=5,"Far",Table1[[#This Row],[Distance to School (km)]]&lt;5,"Near")</f>
        <v>Far</v>
      </c>
      <c r="P225" s="5">
        <f t="shared" si="7"/>
        <v>0.30899999999999994</v>
      </c>
    </row>
    <row r="226" spans="1:16" ht="15" hidden="1" x14ac:dyDescent="0.25">
      <c r="A226" s="2" t="s">
        <v>231</v>
      </c>
      <c r="B226" s="2" t="s">
        <v>651</v>
      </c>
      <c r="C226" s="2" t="s">
        <v>732</v>
      </c>
      <c r="D226" s="2" t="s">
        <v>646</v>
      </c>
      <c r="E226" s="2">
        <v>15</v>
      </c>
      <c r="F226" s="2" t="str" cm="1">
        <f t="array" ref="F226">_xlfn.IFS(Table1[[#This Row],[Age]]&lt;=16,"15-16",Table1[[#This Row],[Age]]&lt;19,"17-18")</f>
        <v>15-16</v>
      </c>
      <c r="G226" s="2" t="s">
        <v>757</v>
      </c>
      <c r="H226" s="3">
        <v>0.73799999999999999</v>
      </c>
      <c r="I226" s="3">
        <v>0.74400000000000011</v>
      </c>
      <c r="J226" s="3" t="str" cm="1">
        <f t="array" ref="J226">_xlfn.IFS(Table1[[#This Row],[Overall Attendance]]&gt;=0.6,"Good",Table1[[#This Row],[Overall Attendance]]&lt;0.6,"Bad")</f>
        <v>Good</v>
      </c>
      <c r="K226" s="4">
        <v>114336</v>
      </c>
      <c r="L226" s="4">
        <f t="shared" si="6"/>
        <v>1372032</v>
      </c>
      <c r="M226" s="4" t="str" cm="1">
        <f t="array" ref="M22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26" s="2">
        <v>2.4</v>
      </c>
      <c r="O226" s="2" t="str" cm="1">
        <f t="array" ref="O226">_xlfn.IFS(Table1[[#This Row],[Distance to School (km)]]&gt;=5,"Far",Table1[[#This Row],[Distance to School (km)]]&lt;5,"Near")</f>
        <v>Near</v>
      </c>
      <c r="P226" s="5">
        <f t="shared" si="7"/>
        <v>0.2589999999999999</v>
      </c>
    </row>
    <row r="227" spans="1:16" ht="15" x14ac:dyDescent="0.25">
      <c r="A227" s="2" t="s">
        <v>232</v>
      </c>
      <c r="B227" s="2" t="s">
        <v>682</v>
      </c>
      <c r="C227" s="2" t="s">
        <v>714</v>
      </c>
      <c r="D227" s="2" t="s">
        <v>750</v>
      </c>
      <c r="E227" s="2">
        <v>18</v>
      </c>
      <c r="F227" s="2" t="str" cm="1">
        <f t="array" ref="F227">_xlfn.IFS(Table1[[#This Row],[Age]]&lt;=16,"15-16",Table1[[#This Row],[Age]]&lt;19,"17-18")</f>
        <v>17-18</v>
      </c>
      <c r="G227" s="2" t="s">
        <v>758</v>
      </c>
      <c r="H227" s="3">
        <v>0.66299999999999992</v>
      </c>
      <c r="I227" s="3">
        <v>0.84799999999999998</v>
      </c>
      <c r="J227" s="3" t="str" cm="1">
        <f t="array" ref="J227">_xlfn.IFS(Table1[[#This Row],[Overall Attendance]]&gt;=0.6,"Good",Table1[[#This Row],[Overall Attendance]]&lt;0.6,"Bad")</f>
        <v>Good</v>
      </c>
      <c r="K227" s="4">
        <v>83468</v>
      </c>
      <c r="L227" s="4">
        <f t="shared" si="6"/>
        <v>1001616</v>
      </c>
      <c r="M227" s="4" t="str" cm="1">
        <f t="array" ref="M22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27" s="2">
        <v>5.6</v>
      </c>
      <c r="O227" s="2" t="str" cm="1">
        <f t="array" ref="O227">_xlfn.IFS(Table1[[#This Row],[Distance to School (km)]]&gt;=5,"Far",Table1[[#This Row],[Distance to School (km)]]&lt;5,"Near")</f>
        <v>Far</v>
      </c>
      <c r="P227" s="5">
        <f t="shared" si="7"/>
        <v>0.24450000000000005</v>
      </c>
    </row>
    <row r="228" spans="1:16" ht="15" hidden="1" x14ac:dyDescent="0.25">
      <c r="A228" s="2" t="s">
        <v>233</v>
      </c>
      <c r="B228" s="2" t="s">
        <v>678</v>
      </c>
      <c r="C228" s="2" t="s">
        <v>714</v>
      </c>
      <c r="D228" s="2" t="s">
        <v>747</v>
      </c>
      <c r="E228" s="2">
        <v>15</v>
      </c>
      <c r="F228" s="2" t="str" cm="1">
        <f t="array" ref="F228">_xlfn.IFS(Table1[[#This Row],[Age]]&lt;=16,"15-16",Table1[[#This Row],[Age]]&lt;19,"17-18")</f>
        <v>15-16</v>
      </c>
      <c r="G228" s="2" t="s">
        <v>758</v>
      </c>
      <c r="H228" s="3">
        <v>0.59499999999999997</v>
      </c>
      <c r="I228" s="3">
        <v>0.76700000000000002</v>
      </c>
      <c r="J228" s="3" t="str" cm="1">
        <f t="array" ref="J228">_xlfn.IFS(Table1[[#This Row],[Overall Attendance]]&gt;=0.6,"Good",Table1[[#This Row],[Overall Attendance]]&lt;0.6,"Bad")</f>
        <v>Good</v>
      </c>
      <c r="K228" s="4">
        <v>277446</v>
      </c>
      <c r="L228" s="4">
        <f t="shared" si="6"/>
        <v>3329352</v>
      </c>
      <c r="M228" s="4" t="str" cm="1">
        <f t="array" ref="M22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28" s="2">
        <v>11.1</v>
      </c>
      <c r="O228" s="2" t="str" cm="1">
        <f t="array" ref="O228">_xlfn.IFS(Table1[[#This Row],[Distance to School (km)]]&gt;=5,"Far",Table1[[#This Row],[Distance to School (km)]]&lt;5,"Near")</f>
        <v>Far</v>
      </c>
      <c r="P228" s="5">
        <f t="shared" si="7"/>
        <v>0.31899999999999995</v>
      </c>
    </row>
    <row r="229" spans="1:16" ht="15" x14ac:dyDescent="0.25">
      <c r="A229" s="2" t="s">
        <v>234</v>
      </c>
      <c r="B229" s="2" t="s">
        <v>662</v>
      </c>
      <c r="C229" s="2" t="s">
        <v>708</v>
      </c>
      <c r="D229" s="2" t="s">
        <v>749</v>
      </c>
      <c r="E229" s="2">
        <v>18</v>
      </c>
      <c r="F229" s="2" t="str" cm="1">
        <f t="array" ref="F229">_xlfn.IFS(Table1[[#This Row],[Age]]&lt;=16,"15-16",Table1[[#This Row],[Age]]&lt;19,"17-18")</f>
        <v>17-18</v>
      </c>
      <c r="G229" s="2" t="s">
        <v>757</v>
      </c>
      <c r="H229" s="3">
        <v>0.56999999999999995</v>
      </c>
      <c r="I229" s="3">
        <v>0.92200000000000004</v>
      </c>
      <c r="J229" s="3" t="str" cm="1">
        <f t="array" ref="J229">_xlfn.IFS(Table1[[#This Row],[Overall Attendance]]&gt;=0.6,"Good",Table1[[#This Row],[Overall Attendance]]&lt;0.6,"Bad")</f>
        <v>Good</v>
      </c>
      <c r="K229" s="4">
        <v>291305</v>
      </c>
      <c r="L229" s="4">
        <f t="shared" si="6"/>
        <v>3495660</v>
      </c>
      <c r="M229" s="4" t="str" cm="1">
        <f t="array" ref="M22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29" s="2">
        <v>1.6</v>
      </c>
      <c r="O229" s="2" t="str" cm="1">
        <f t="array" ref="O229">_xlfn.IFS(Table1[[#This Row],[Distance to School (km)]]&gt;=5,"Far",Table1[[#This Row],[Distance to School (km)]]&lt;5,"Near")</f>
        <v>Near</v>
      </c>
      <c r="P229" s="5">
        <f t="shared" si="7"/>
        <v>0.254</v>
      </c>
    </row>
    <row r="230" spans="1:16" ht="15" hidden="1" x14ac:dyDescent="0.25">
      <c r="A230" s="2" t="s">
        <v>235</v>
      </c>
      <c r="B230" s="2" t="s">
        <v>676</v>
      </c>
      <c r="C230" s="2" t="s">
        <v>693</v>
      </c>
      <c r="D230" s="2" t="s">
        <v>745</v>
      </c>
      <c r="E230" s="2">
        <v>16</v>
      </c>
      <c r="F230" s="2" t="str" cm="1">
        <f t="array" ref="F230">_xlfn.IFS(Table1[[#This Row],[Age]]&lt;=16,"15-16",Table1[[#This Row],[Age]]&lt;19,"17-18")</f>
        <v>15-16</v>
      </c>
      <c r="G230" s="2" t="s">
        <v>758</v>
      </c>
      <c r="H230" s="3">
        <v>0.64200000000000002</v>
      </c>
      <c r="I230" s="3">
        <v>0.77400000000000002</v>
      </c>
      <c r="J230" s="3" t="str" cm="1">
        <f t="array" ref="J230">_xlfn.IFS(Table1[[#This Row],[Overall Attendance]]&gt;=0.6,"Good",Table1[[#This Row],[Overall Attendance]]&lt;0.6,"Bad")</f>
        <v>Good</v>
      </c>
      <c r="K230" s="4">
        <v>72484</v>
      </c>
      <c r="L230" s="4">
        <f t="shared" si="6"/>
        <v>869808</v>
      </c>
      <c r="M230" s="4" t="str" cm="1">
        <f t="array" ref="M23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30" s="2">
        <v>11.2</v>
      </c>
      <c r="O230" s="2" t="str" cm="1">
        <f t="array" ref="O230">_xlfn.IFS(Table1[[#This Row],[Distance to School (km)]]&gt;=5,"Far",Table1[[#This Row],[Distance to School (km)]]&lt;5,"Near")</f>
        <v>Far</v>
      </c>
      <c r="P230" s="5">
        <f t="shared" si="7"/>
        <v>0.29200000000000004</v>
      </c>
    </row>
    <row r="231" spans="1:16" ht="15" x14ac:dyDescent="0.25">
      <c r="A231" s="2" t="s">
        <v>236</v>
      </c>
      <c r="B231" s="2" t="s">
        <v>643</v>
      </c>
      <c r="C231" s="2" t="s">
        <v>668</v>
      </c>
      <c r="D231" s="2" t="s">
        <v>754</v>
      </c>
      <c r="E231" s="2">
        <v>18</v>
      </c>
      <c r="F231" s="2" t="str" cm="1">
        <f t="array" ref="F231">_xlfn.IFS(Table1[[#This Row],[Age]]&lt;=16,"15-16",Table1[[#This Row],[Age]]&lt;19,"17-18")</f>
        <v>17-18</v>
      </c>
      <c r="G231" s="2" t="s">
        <v>757</v>
      </c>
      <c r="H231" s="3">
        <v>0.35</v>
      </c>
      <c r="I231" s="3">
        <v>0.72699999999999998</v>
      </c>
      <c r="J231" s="3" t="str" cm="1">
        <f t="array" ref="J231">_xlfn.IFS(Table1[[#This Row],[Overall Attendance]]&gt;=0.6,"Good",Table1[[#This Row],[Overall Attendance]]&lt;0.6,"Bad")</f>
        <v>Good</v>
      </c>
      <c r="K231" s="4">
        <v>76546</v>
      </c>
      <c r="L231" s="4">
        <f t="shared" si="6"/>
        <v>918552</v>
      </c>
      <c r="M231" s="4" t="str" cm="1">
        <f t="array" ref="M23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31" s="2">
        <v>7.9</v>
      </c>
      <c r="O231" s="2" t="str" cm="1">
        <f t="array" ref="O231">_xlfn.IFS(Table1[[#This Row],[Distance to School (km)]]&gt;=5,"Far",Table1[[#This Row],[Distance to School (km)]]&lt;5,"Near")</f>
        <v>Far</v>
      </c>
      <c r="P231" s="5">
        <f t="shared" si="7"/>
        <v>0.46150000000000002</v>
      </c>
    </row>
    <row r="232" spans="1:16" ht="15" hidden="1" x14ac:dyDescent="0.25">
      <c r="A232" s="2" t="s">
        <v>237</v>
      </c>
      <c r="B232" s="2" t="s">
        <v>660</v>
      </c>
      <c r="C232" s="2" t="s">
        <v>725</v>
      </c>
      <c r="D232" s="2" t="s">
        <v>740</v>
      </c>
      <c r="E232" s="2">
        <v>15</v>
      </c>
      <c r="F232" s="2" t="str" cm="1">
        <f t="array" ref="F232">_xlfn.IFS(Table1[[#This Row],[Age]]&lt;=16,"15-16",Table1[[#This Row],[Age]]&lt;19,"17-18")</f>
        <v>15-16</v>
      </c>
      <c r="G232" s="2" t="s">
        <v>758</v>
      </c>
      <c r="H232" s="3">
        <v>0.499</v>
      </c>
      <c r="I232" s="3">
        <v>0.85299999999999998</v>
      </c>
      <c r="J232" s="3" t="str" cm="1">
        <f t="array" ref="J232">_xlfn.IFS(Table1[[#This Row],[Overall Attendance]]&gt;=0.6,"Good",Table1[[#This Row],[Overall Attendance]]&lt;0.6,"Bad")</f>
        <v>Good</v>
      </c>
      <c r="K232" s="4">
        <v>128154</v>
      </c>
      <c r="L232" s="4">
        <f t="shared" si="6"/>
        <v>1537848</v>
      </c>
      <c r="M232" s="4" t="str" cm="1">
        <f t="array" ref="M23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32" s="2">
        <v>9.1999999999999993</v>
      </c>
      <c r="O232" s="2" t="str" cm="1">
        <f t="array" ref="O232">_xlfn.IFS(Table1[[#This Row],[Distance to School (km)]]&gt;=5,"Far",Table1[[#This Row],[Distance to School (km)]]&lt;5,"Near")</f>
        <v>Far</v>
      </c>
      <c r="P232" s="5">
        <f t="shared" si="7"/>
        <v>0.32400000000000007</v>
      </c>
    </row>
    <row r="233" spans="1:16" ht="15" x14ac:dyDescent="0.25">
      <c r="A233" s="2" t="s">
        <v>238</v>
      </c>
      <c r="B233" s="2" t="s">
        <v>656</v>
      </c>
      <c r="C233" s="2" t="s">
        <v>732</v>
      </c>
      <c r="D233" s="2" t="s">
        <v>752</v>
      </c>
      <c r="E233" s="2">
        <v>18</v>
      </c>
      <c r="F233" s="2" t="str" cm="1">
        <f t="array" ref="F233">_xlfn.IFS(Table1[[#This Row],[Age]]&lt;=16,"15-16",Table1[[#This Row],[Age]]&lt;19,"17-18")</f>
        <v>17-18</v>
      </c>
      <c r="G233" s="2" t="s">
        <v>757</v>
      </c>
      <c r="H233" s="3">
        <v>0.56700000000000006</v>
      </c>
      <c r="I233" s="3">
        <v>0.86900000000000011</v>
      </c>
      <c r="J233" s="3" t="str" cm="1">
        <f t="array" ref="J233">_xlfn.IFS(Table1[[#This Row],[Overall Attendance]]&gt;=0.6,"Good",Table1[[#This Row],[Overall Attendance]]&lt;0.6,"Bad")</f>
        <v>Good</v>
      </c>
      <c r="K233" s="4">
        <v>187911</v>
      </c>
      <c r="L233" s="4">
        <f t="shared" si="6"/>
        <v>2254932</v>
      </c>
      <c r="M233" s="4" t="str" cm="1">
        <f t="array" ref="M23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33" s="2">
        <v>7.4</v>
      </c>
      <c r="O233" s="2" t="str" cm="1">
        <f t="array" ref="O233">_xlfn.IFS(Table1[[#This Row],[Distance to School (km)]]&gt;=5,"Far",Table1[[#This Row],[Distance to School (km)]]&lt;5,"Near")</f>
        <v>Far</v>
      </c>
      <c r="P233" s="5">
        <f t="shared" si="7"/>
        <v>0.28199999999999992</v>
      </c>
    </row>
    <row r="234" spans="1:16" ht="15" x14ac:dyDescent="0.25">
      <c r="A234" s="2" t="s">
        <v>239</v>
      </c>
      <c r="B234" s="2" t="s">
        <v>646</v>
      </c>
      <c r="C234" s="2" t="s">
        <v>689</v>
      </c>
      <c r="D234" s="2" t="s">
        <v>744</v>
      </c>
      <c r="E234" s="2">
        <v>17</v>
      </c>
      <c r="F234" s="2" t="str" cm="1">
        <f t="array" ref="F234">_xlfn.IFS(Table1[[#This Row],[Age]]&lt;=16,"15-16",Table1[[#This Row],[Age]]&lt;19,"17-18")</f>
        <v>17-18</v>
      </c>
      <c r="G234" s="2" t="s">
        <v>757</v>
      </c>
      <c r="H234" s="3">
        <v>0.45700000000000002</v>
      </c>
      <c r="I234" s="3">
        <v>0.69700000000000006</v>
      </c>
      <c r="J234" s="3" t="str" cm="1">
        <f t="array" ref="J234">_xlfn.IFS(Table1[[#This Row],[Overall Attendance]]&gt;=0.6,"Good",Table1[[#This Row],[Overall Attendance]]&lt;0.6,"Bad")</f>
        <v>Good</v>
      </c>
      <c r="K234" s="4">
        <v>43133</v>
      </c>
      <c r="L234" s="4">
        <f t="shared" si="6"/>
        <v>517596</v>
      </c>
      <c r="M234" s="4" t="str" cm="1">
        <f t="array" ref="M23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34" s="2">
        <v>8.1999999999999993</v>
      </c>
      <c r="O234" s="2" t="str" cm="1">
        <f t="array" ref="O234">_xlfn.IFS(Table1[[#This Row],[Distance to School (km)]]&gt;=5,"Far",Table1[[#This Row],[Distance to School (km)]]&lt;5,"Near")</f>
        <v>Far</v>
      </c>
      <c r="P234" s="5">
        <f t="shared" si="7"/>
        <v>0.42299999999999993</v>
      </c>
    </row>
    <row r="235" spans="1:16" ht="15" x14ac:dyDescent="0.25">
      <c r="A235" s="2" t="s">
        <v>240</v>
      </c>
      <c r="B235" s="2" t="s">
        <v>676</v>
      </c>
      <c r="C235" s="2" t="s">
        <v>686</v>
      </c>
      <c r="D235" s="2" t="s">
        <v>743</v>
      </c>
      <c r="E235" s="2">
        <v>18</v>
      </c>
      <c r="F235" s="2" t="str" cm="1">
        <f t="array" ref="F235">_xlfn.IFS(Table1[[#This Row],[Age]]&lt;=16,"15-16",Table1[[#This Row],[Age]]&lt;19,"17-18")</f>
        <v>17-18</v>
      </c>
      <c r="G235" s="2" t="s">
        <v>757</v>
      </c>
      <c r="H235" s="3">
        <v>0.69499999999999995</v>
      </c>
      <c r="I235" s="3">
        <v>0.96</v>
      </c>
      <c r="J235" s="3" t="str" cm="1">
        <f t="array" ref="J235">_xlfn.IFS(Table1[[#This Row],[Overall Attendance]]&gt;=0.6,"Good",Table1[[#This Row],[Overall Attendance]]&lt;0.6,"Bad")</f>
        <v>Good</v>
      </c>
      <c r="K235" s="4">
        <v>75459</v>
      </c>
      <c r="L235" s="4">
        <f t="shared" si="6"/>
        <v>905508</v>
      </c>
      <c r="M235" s="4" t="str" cm="1">
        <f t="array" ref="M23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35" s="2">
        <v>7.1</v>
      </c>
      <c r="O235" s="2" t="str" cm="1">
        <f t="array" ref="O235">_xlfn.IFS(Table1[[#This Row],[Distance to School (km)]]&gt;=5,"Far",Table1[[#This Row],[Distance to School (km)]]&lt;5,"Near")</f>
        <v>Far</v>
      </c>
      <c r="P235" s="5">
        <f t="shared" si="7"/>
        <v>0.1725000000000001</v>
      </c>
    </row>
    <row r="236" spans="1:16" ht="15" x14ac:dyDescent="0.25">
      <c r="A236" s="2" t="s">
        <v>241</v>
      </c>
      <c r="B236" s="2" t="s">
        <v>653</v>
      </c>
      <c r="C236" s="2" t="s">
        <v>646</v>
      </c>
      <c r="D236" s="2" t="s">
        <v>712</v>
      </c>
      <c r="E236" s="2">
        <v>17</v>
      </c>
      <c r="F236" s="2" t="str" cm="1">
        <f t="array" ref="F236">_xlfn.IFS(Table1[[#This Row],[Age]]&lt;=16,"15-16",Table1[[#This Row],[Age]]&lt;19,"17-18")</f>
        <v>17-18</v>
      </c>
      <c r="G236" s="2" t="s">
        <v>757</v>
      </c>
      <c r="H236" s="3">
        <v>0.56000000000000005</v>
      </c>
      <c r="I236" s="3">
        <v>0.68500000000000005</v>
      </c>
      <c r="J236" s="3" t="str" cm="1">
        <f t="array" ref="J236">_xlfn.IFS(Table1[[#This Row],[Overall Attendance]]&gt;=0.6,"Good",Table1[[#This Row],[Overall Attendance]]&lt;0.6,"Bad")</f>
        <v>Good</v>
      </c>
      <c r="K236" s="4">
        <v>121872</v>
      </c>
      <c r="L236" s="4">
        <f t="shared" si="6"/>
        <v>1462464</v>
      </c>
      <c r="M236" s="4" t="str" cm="1">
        <f t="array" ref="M23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36" s="2">
        <v>2.1</v>
      </c>
      <c r="O236" s="2" t="str" cm="1">
        <f t="array" ref="O236">_xlfn.IFS(Table1[[#This Row],[Distance to School (km)]]&gt;=5,"Far",Table1[[#This Row],[Distance to School (km)]]&lt;5,"Near")</f>
        <v>Near</v>
      </c>
      <c r="P236" s="5">
        <f t="shared" si="7"/>
        <v>0.37749999999999995</v>
      </c>
    </row>
    <row r="237" spans="1:16" ht="15" x14ac:dyDescent="0.25">
      <c r="A237" s="2" t="s">
        <v>242</v>
      </c>
      <c r="B237" s="2" t="s">
        <v>649</v>
      </c>
      <c r="C237" s="2" t="s">
        <v>707</v>
      </c>
      <c r="D237" s="2" t="s">
        <v>749</v>
      </c>
      <c r="E237" s="2">
        <v>18</v>
      </c>
      <c r="F237" s="2" t="str" cm="1">
        <f t="array" ref="F237">_xlfn.IFS(Table1[[#This Row],[Age]]&lt;=16,"15-16",Table1[[#This Row],[Age]]&lt;19,"17-18")</f>
        <v>17-18</v>
      </c>
      <c r="G237" s="2" t="s">
        <v>758</v>
      </c>
      <c r="H237" s="3">
        <v>0.752</v>
      </c>
      <c r="I237" s="3">
        <v>0.78599999999999992</v>
      </c>
      <c r="J237" s="3" t="str" cm="1">
        <f t="array" ref="J237">_xlfn.IFS(Table1[[#This Row],[Overall Attendance]]&gt;=0.6,"Good",Table1[[#This Row],[Overall Attendance]]&lt;0.6,"Bad")</f>
        <v>Good</v>
      </c>
      <c r="K237" s="4">
        <v>332498</v>
      </c>
      <c r="L237" s="4">
        <f t="shared" si="6"/>
        <v>3989976</v>
      </c>
      <c r="M237" s="4" t="str" cm="1">
        <f t="array" ref="M23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37" s="2">
        <v>5.2</v>
      </c>
      <c r="O237" s="2" t="str" cm="1">
        <f t="array" ref="O237">_xlfn.IFS(Table1[[#This Row],[Distance to School (km)]]&gt;=5,"Far",Table1[[#This Row],[Distance to School (km)]]&lt;5,"Near")</f>
        <v>Far</v>
      </c>
      <c r="P237" s="5">
        <f t="shared" si="7"/>
        <v>0.23100000000000009</v>
      </c>
    </row>
    <row r="238" spans="1:16" ht="15" x14ac:dyDescent="0.25">
      <c r="A238" s="2" t="s">
        <v>243</v>
      </c>
      <c r="B238" s="2" t="s">
        <v>674</v>
      </c>
      <c r="C238" s="2" t="s">
        <v>713</v>
      </c>
      <c r="D238" s="2" t="s">
        <v>753</v>
      </c>
      <c r="E238" s="2">
        <v>17</v>
      </c>
      <c r="F238" s="2" t="str" cm="1">
        <f t="array" ref="F238">_xlfn.IFS(Table1[[#This Row],[Age]]&lt;=16,"15-16",Table1[[#This Row],[Age]]&lt;19,"17-18")</f>
        <v>17-18</v>
      </c>
      <c r="G238" s="2" t="s">
        <v>758</v>
      </c>
      <c r="H238" s="3">
        <v>0.2</v>
      </c>
      <c r="I238" s="3">
        <v>0.2</v>
      </c>
      <c r="J238" s="3" t="str" cm="1">
        <f t="array" ref="J238">_xlfn.IFS(Table1[[#This Row],[Overall Attendance]]&gt;=0.6,"Good",Table1[[#This Row],[Overall Attendance]]&lt;0.6,"Bad")</f>
        <v>Bad</v>
      </c>
      <c r="K238" s="4">
        <v>46079</v>
      </c>
      <c r="L238" s="4">
        <f t="shared" si="6"/>
        <v>552948</v>
      </c>
      <c r="M238" s="4" t="str" cm="1">
        <f t="array" ref="M23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38" s="2">
        <v>3.7</v>
      </c>
      <c r="O238" s="2" t="str" cm="1">
        <f t="array" ref="O238">_xlfn.IFS(Table1[[#This Row],[Distance to School (km)]]&gt;=5,"Far",Table1[[#This Row],[Distance to School (km)]]&lt;5,"Near")</f>
        <v>Near</v>
      </c>
      <c r="P238" s="5">
        <f t="shared" si="7"/>
        <v>0.8</v>
      </c>
    </row>
    <row r="239" spans="1:16" ht="15" x14ac:dyDescent="0.25">
      <c r="A239" s="2" t="s">
        <v>244</v>
      </c>
      <c r="B239" s="2" t="s">
        <v>664</v>
      </c>
      <c r="C239" s="2" t="s">
        <v>687</v>
      </c>
      <c r="D239" s="2" t="s">
        <v>747</v>
      </c>
      <c r="E239" s="2">
        <v>17</v>
      </c>
      <c r="F239" s="2" t="str" cm="1">
        <f t="array" ref="F239">_xlfn.IFS(Table1[[#This Row],[Age]]&lt;=16,"15-16",Table1[[#This Row],[Age]]&lt;19,"17-18")</f>
        <v>17-18</v>
      </c>
      <c r="G239" s="2" t="s">
        <v>757</v>
      </c>
      <c r="H239" s="3">
        <v>0.61</v>
      </c>
      <c r="I239" s="3">
        <v>0.65</v>
      </c>
      <c r="J239" s="3" t="str" cm="1">
        <f t="array" ref="J239">_xlfn.IFS(Table1[[#This Row],[Overall Attendance]]&gt;=0.6,"Good",Table1[[#This Row],[Overall Attendance]]&lt;0.6,"Bad")</f>
        <v>Good</v>
      </c>
      <c r="K239" s="4">
        <v>38013</v>
      </c>
      <c r="L239" s="4">
        <f t="shared" si="6"/>
        <v>456156</v>
      </c>
      <c r="M239" s="4" t="str" cm="1">
        <f t="array" ref="M23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39" s="2">
        <v>3.6</v>
      </c>
      <c r="O239" s="2" t="str" cm="1">
        <f t="array" ref="O239">_xlfn.IFS(Table1[[#This Row],[Distance to School (km)]]&gt;=5,"Far",Table1[[#This Row],[Distance to School (km)]]&lt;5,"Near")</f>
        <v>Near</v>
      </c>
      <c r="P239" s="5">
        <f t="shared" si="7"/>
        <v>0.37</v>
      </c>
    </row>
    <row r="240" spans="1:16" ht="15" hidden="1" x14ac:dyDescent="0.25">
      <c r="A240" s="2" t="s">
        <v>245</v>
      </c>
      <c r="B240" s="2" t="s">
        <v>674</v>
      </c>
      <c r="C240" s="2" t="s">
        <v>687</v>
      </c>
      <c r="D240" s="2" t="s">
        <v>712</v>
      </c>
      <c r="E240" s="2">
        <v>15</v>
      </c>
      <c r="F240" s="2" t="str" cm="1">
        <f t="array" ref="F240">_xlfn.IFS(Table1[[#This Row],[Age]]&lt;=16,"15-16",Table1[[#This Row],[Age]]&lt;19,"17-18")</f>
        <v>15-16</v>
      </c>
      <c r="G240" s="2" t="s">
        <v>757</v>
      </c>
      <c r="H240" s="3">
        <v>0.64500000000000002</v>
      </c>
      <c r="I240" s="3">
        <v>0.92299999999999993</v>
      </c>
      <c r="J240" s="3" t="str" cm="1">
        <f t="array" ref="J240">_xlfn.IFS(Table1[[#This Row],[Overall Attendance]]&gt;=0.6,"Good",Table1[[#This Row],[Overall Attendance]]&lt;0.6,"Bad")</f>
        <v>Good</v>
      </c>
      <c r="K240" s="4">
        <v>198481</v>
      </c>
      <c r="L240" s="4">
        <f t="shared" si="6"/>
        <v>2381772</v>
      </c>
      <c r="M240" s="4" t="str" cm="1">
        <f t="array" ref="M24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40" s="2">
        <v>10.6</v>
      </c>
      <c r="O240" s="2" t="str" cm="1">
        <f t="array" ref="O240">_xlfn.IFS(Table1[[#This Row],[Distance to School (km)]]&gt;=5,"Far",Table1[[#This Row],[Distance to School (km)]]&lt;5,"Near")</f>
        <v>Far</v>
      </c>
      <c r="P240" s="5">
        <f t="shared" si="7"/>
        <v>0.21599999999999997</v>
      </c>
    </row>
    <row r="241" spans="1:16" ht="15" x14ac:dyDescent="0.25">
      <c r="A241" s="2" t="s">
        <v>246</v>
      </c>
      <c r="B241" s="2" t="s">
        <v>646</v>
      </c>
      <c r="C241" s="2" t="s">
        <v>704</v>
      </c>
      <c r="D241" s="2" t="s">
        <v>742</v>
      </c>
      <c r="E241" s="2">
        <v>18</v>
      </c>
      <c r="F241" s="2" t="str" cm="1">
        <f t="array" ref="F241">_xlfn.IFS(Table1[[#This Row],[Age]]&lt;=16,"15-16",Table1[[#This Row],[Age]]&lt;19,"17-18")</f>
        <v>17-18</v>
      </c>
      <c r="G241" s="2" t="s">
        <v>758</v>
      </c>
      <c r="H241" s="3">
        <v>0.35</v>
      </c>
      <c r="I241" s="3">
        <v>0.93900000000000006</v>
      </c>
      <c r="J241" s="3" t="str" cm="1">
        <f t="array" ref="J241">_xlfn.IFS(Table1[[#This Row],[Overall Attendance]]&gt;=0.6,"Good",Table1[[#This Row],[Overall Attendance]]&lt;0.6,"Bad")</f>
        <v>Good</v>
      </c>
      <c r="K241" s="4">
        <v>127510</v>
      </c>
      <c r="L241" s="4">
        <f t="shared" si="6"/>
        <v>1530120</v>
      </c>
      <c r="M241" s="4" t="str" cm="1">
        <f t="array" ref="M24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41" s="2">
        <v>10.4</v>
      </c>
      <c r="O241" s="2" t="str" cm="1">
        <f t="array" ref="O241">_xlfn.IFS(Table1[[#This Row],[Distance to School (km)]]&gt;=5,"Far",Table1[[#This Row],[Distance to School (km)]]&lt;5,"Near")</f>
        <v>Far</v>
      </c>
      <c r="P241" s="5">
        <f t="shared" si="7"/>
        <v>0.35549999999999993</v>
      </c>
    </row>
    <row r="242" spans="1:16" ht="15" x14ac:dyDescent="0.25">
      <c r="A242" s="2" t="s">
        <v>247</v>
      </c>
      <c r="B242" s="2" t="s">
        <v>648</v>
      </c>
      <c r="C242" s="2" t="s">
        <v>651</v>
      </c>
      <c r="D242" s="2" t="s">
        <v>740</v>
      </c>
      <c r="E242" s="2">
        <v>17</v>
      </c>
      <c r="F242" s="2" t="str" cm="1">
        <f t="array" ref="F242">_xlfn.IFS(Table1[[#This Row],[Age]]&lt;=16,"15-16",Table1[[#This Row],[Age]]&lt;19,"17-18")</f>
        <v>17-18</v>
      </c>
      <c r="G242" s="2" t="s">
        <v>757</v>
      </c>
      <c r="H242" s="3">
        <v>0.70400000000000007</v>
      </c>
      <c r="I242" s="3">
        <v>0.65300000000000002</v>
      </c>
      <c r="J242" s="3" t="str" cm="1">
        <f t="array" ref="J242">_xlfn.IFS(Table1[[#This Row],[Overall Attendance]]&gt;=0.6,"Good",Table1[[#This Row],[Overall Attendance]]&lt;0.6,"Bad")</f>
        <v>Good</v>
      </c>
      <c r="K242" s="4">
        <v>72992</v>
      </c>
      <c r="L242" s="4">
        <f t="shared" si="6"/>
        <v>875904</v>
      </c>
      <c r="M242" s="4" t="str" cm="1">
        <f t="array" ref="M24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42" s="2">
        <v>4.2</v>
      </c>
      <c r="O242" s="2" t="str" cm="1">
        <f t="array" ref="O242">_xlfn.IFS(Table1[[#This Row],[Distance to School (km)]]&gt;=5,"Far",Table1[[#This Row],[Distance to School (km)]]&lt;5,"Near")</f>
        <v>Near</v>
      </c>
      <c r="P242" s="5">
        <f t="shared" si="7"/>
        <v>0.3214999999999999</v>
      </c>
    </row>
    <row r="243" spans="1:16" ht="15" hidden="1" x14ac:dyDescent="0.25">
      <c r="A243" s="2" t="s">
        <v>248</v>
      </c>
      <c r="B243" s="2" t="s">
        <v>641</v>
      </c>
      <c r="C243" s="2" t="s">
        <v>734</v>
      </c>
      <c r="D243" s="2" t="s">
        <v>756</v>
      </c>
      <c r="E243" s="2">
        <v>16</v>
      </c>
      <c r="F243" s="2" t="str" cm="1">
        <f t="array" ref="F243">_xlfn.IFS(Table1[[#This Row],[Age]]&lt;=16,"15-16",Table1[[#This Row],[Age]]&lt;19,"17-18")</f>
        <v>15-16</v>
      </c>
      <c r="G243" s="2" t="s">
        <v>758</v>
      </c>
      <c r="H243" s="3">
        <v>0.8</v>
      </c>
      <c r="I243" s="3">
        <v>0.80599999999999994</v>
      </c>
      <c r="J243" s="3" t="str" cm="1">
        <f t="array" ref="J243">_xlfn.IFS(Table1[[#This Row],[Overall Attendance]]&gt;=0.6,"Good",Table1[[#This Row],[Overall Attendance]]&lt;0.6,"Bad")</f>
        <v>Good</v>
      </c>
      <c r="K243" s="4">
        <v>23120</v>
      </c>
      <c r="L243" s="4">
        <f t="shared" si="6"/>
        <v>277440</v>
      </c>
      <c r="M243" s="4" t="str" cm="1">
        <f t="array" ref="M24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43" s="2">
        <v>11.9</v>
      </c>
      <c r="O243" s="2" t="str" cm="1">
        <f t="array" ref="O243">_xlfn.IFS(Table1[[#This Row],[Distance to School (km)]]&gt;=5,"Far",Table1[[#This Row],[Distance to School (km)]]&lt;5,"Near")</f>
        <v>Far</v>
      </c>
      <c r="P243" s="5">
        <f t="shared" si="7"/>
        <v>0.19700000000000006</v>
      </c>
    </row>
    <row r="244" spans="1:16" ht="15" x14ac:dyDescent="0.25">
      <c r="A244" s="2" t="s">
        <v>249</v>
      </c>
      <c r="B244" s="2" t="s">
        <v>662</v>
      </c>
      <c r="C244" s="2" t="s">
        <v>686</v>
      </c>
      <c r="D244" s="2" t="s">
        <v>646</v>
      </c>
      <c r="E244" s="2">
        <v>17</v>
      </c>
      <c r="F244" s="2" t="str" cm="1">
        <f t="array" ref="F244">_xlfn.IFS(Table1[[#This Row],[Age]]&lt;=16,"15-16",Table1[[#This Row],[Age]]&lt;19,"17-18")</f>
        <v>17-18</v>
      </c>
      <c r="G244" s="2" t="s">
        <v>757</v>
      </c>
      <c r="H244" s="3">
        <v>0.57999999999999996</v>
      </c>
      <c r="I244" s="3">
        <v>0.88800000000000001</v>
      </c>
      <c r="J244" s="3" t="str" cm="1">
        <f t="array" ref="J244">_xlfn.IFS(Table1[[#This Row],[Overall Attendance]]&gt;=0.6,"Good",Table1[[#This Row],[Overall Attendance]]&lt;0.6,"Bad")</f>
        <v>Good</v>
      </c>
      <c r="K244" s="4">
        <v>94318</v>
      </c>
      <c r="L244" s="4">
        <f t="shared" si="6"/>
        <v>1131816</v>
      </c>
      <c r="M244" s="4" t="str" cm="1">
        <f t="array" ref="M24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44" s="2">
        <v>7.1</v>
      </c>
      <c r="O244" s="2" t="str" cm="1">
        <f t="array" ref="O244">_xlfn.IFS(Table1[[#This Row],[Distance to School (km)]]&gt;=5,"Far",Table1[[#This Row],[Distance to School (km)]]&lt;5,"Near")</f>
        <v>Far</v>
      </c>
      <c r="P244" s="5">
        <f t="shared" si="7"/>
        <v>0.26600000000000001</v>
      </c>
    </row>
    <row r="245" spans="1:16" ht="15" x14ac:dyDescent="0.25">
      <c r="A245" s="2" t="s">
        <v>250</v>
      </c>
      <c r="B245" s="2" t="s">
        <v>674</v>
      </c>
      <c r="C245" s="2" t="s">
        <v>691</v>
      </c>
      <c r="D245" s="2" t="s">
        <v>742</v>
      </c>
      <c r="E245" s="2">
        <v>17</v>
      </c>
      <c r="F245" s="2" t="str" cm="1">
        <f t="array" ref="F245">_xlfn.IFS(Table1[[#This Row],[Age]]&lt;=16,"15-16",Table1[[#This Row],[Age]]&lt;19,"17-18")</f>
        <v>17-18</v>
      </c>
      <c r="G245" s="2" t="s">
        <v>758</v>
      </c>
      <c r="H245" s="3">
        <v>0.45500000000000002</v>
      </c>
      <c r="I245" s="3">
        <v>0.66700000000000004</v>
      </c>
      <c r="J245" s="3" t="str" cm="1">
        <f t="array" ref="J245">_xlfn.IFS(Table1[[#This Row],[Overall Attendance]]&gt;=0.6,"Good",Table1[[#This Row],[Overall Attendance]]&lt;0.6,"Bad")</f>
        <v>Good</v>
      </c>
      <c r="K245" s="4">
        <v>167583</v>
      </c>
      <c r="L245" s="4">
        <f t="shared" si="6"/>
        <v>2010996</v>
      </c>
      <c r="M245" s="4" t="str" cm="1">
        <f t="array" ref="M24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45" s="2">
        <v>8.5</v>
      </c>
      <c r="O245" s="2" t="str" cm="1">
        <f t="array" ref="O245">_xlfn.IFS(Table1[[#This Row],[Distance to School (km)]]&gt;=5,"Far",Table1[[#This Row],[Distance to School (km)]]&lt;5,"Near")</f>
        <v>Far</v>
      </c>
      <c r="P245" s="5">
        <f t="shared" si="7"/>
        <v>0.43899999999999995</v>
      </c>
    </row>
    <row r="246" spans="1:16" ht="15" x14ac:dyDescent="0.25">
      <c r="A246" s="2" t="s">
        <v>251</v>
      </c>
      <c r="B246" s="2" t="s">
        <v>667</v>
      </c>
      <c r="C246" s="2" t="s">
        <v>719</v>
      </c>
      <c r="D246" s="2" t="s">
        <v>747</v>
      </c>
      <c r="E246" s="2">
        <v>18</v>
      </c>
      <c r="F246" s="2" t="str" cm="1">
        <f t="array" ref="F246">_xlfn.IFS(Table1[[#This Row],[Age]]&lt;=16,"15-16",Table1[[#This Row],[Age]]&lt;19,"17-18")</f>
        <v>17-18</v>
      </c>
      <c r="G246" s="2" t="s">
        <v>758</v>
      </c>
      <c r="H246" s="3">
        <v>0.82700000000000007</v>
      </c>
      <c r="I246" s="3">
        <v>0.82299999999999995</v>
      </c>
      <c r="J246" s="3" t="str" cm="1">
        <f t="array" ref="J246">_xlfn.IFS(Table1[[#This Row],[Overall Attendance]]&gt;=0.6,"Good",Table1[[#This Row],[Overall Attendance]]&lt;0.6,"Bad")</f>
        <v>Good</v>
      </c>
      <c r="K246" s="4">
        <v>195805</v>
      </c>
      <c r="L246" s="4">
        <f t="shared" si="6"/>
        <v>2349660</v>
      </c>
      <c r="M246" s="4" t="str" cm="1">
        <f t="array" ref="M24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46" s="2">
        <v>10.3</v>
      </c>
      <c r="O246" s="2" t="str" cm="1">
        <f t="array" ref="O246">_xlfn.IFS(Table1[[#This Row],[Distance to School (km)]]&gt;=5,"Far",Table1[[#This Row],[Distance to School (km)]]&lt;5,"Near")</f>
        <v>Far</v>
      </c>
      <c r="P246" s="5">
        <f t="shared" si="7"/>
        <v>0.17500000000000004</v>
      </c>
    </row>
    <row r="247" spans="1:16" ht="15" hidden="1" x14ac:dyDescent="0.25">
      <c r="A247" s="2" t="s">
        <v>252</v>
      </c>
      <c r="B247" s="2" t="s">
        <v>659</v>
      </c>
      <c r="C247" s="2" t="s">
        <v>729</v>
      </c>
      <c r="D247" s="2" t="s">
        <v>753</v>
      </c>
      <c r="E247" s="2">
        <v>15</v>
      </c>
      <c r="F247" s="2" t="str" cm="1">
        <f t="array" ref="F247">_xlfn.IFS(Table1[[#This Row],[Age]]&lt;=16,"15-16",Table1[[#This Row],[Age]]&lt;19,"17-18")</f>
        <v>15-16</v>
      </c>
      <c r="G247" s="2" t="s">
        <v>757</v>
      </c>
      <c r="H247" s="3">
        <v>0.59399999999999997</v>
      </c>
      <c r="I247" s="3">
        <v>0.98</v>
      </c>
      <c r="J247" s="3" t="str" cm="1">
        <f t="array" ref="J247">_xlfn.IFS(Table1[[#This Row],[Overall Attendance]]&gt;=0.6,"Good",Table1[[#This Row],[Overall Attendance]]&lt;0.6,"Bad")</f>
        <v>Good</v>
      </c>
      <c r="K247" s="4">
        <v>234235</v>
      </c>
      <c r="L247" s="4">
        <f t="shared" si="6"/>
        <v>2810820</v>
      </c>
      <c r="M247" s="4" t="str" cm="1">
        <f t="array" ref="M24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47" s="2">
        <v>9.6</v>
      </c>
      <c r="O247" s="2" t="str" cm="1">
        <f t="array" ref="O247">_xlfn.IFS(Table1[[#This Row],[Distance to School (km)]]&gt;=5,"Far",Table1[[#This Row],[Distance to School (km)]]&lt;5,"Near")</f>
        <v>Far</v>
      </c>
      <c r="P247" s="5">
        <f t="shared" si="7"/>
        <v>0.21300000000000008</v>
      </c>
    </row>
    <row r="248" spans="1:16" ht="15" hidden="1" x14ac:dyDescent="0.25">
      <c r="A248" s="2" t="s">
        <v>253</v>
      </c>
      <c r="B248" s="2" t="s">
        <v>653</v>
      </c>
      <c r="C248" s="2" t="s">
        <v>731</v>
      </c>
      <c r="D248" s="2" t="s">
        <v>744</v>
      </c>
      <c r="E248" s="2">
        <v>16</v>
      </c>
      <c r="F248" s="2" t="str" cm="1">
        <f t="array" ref="F248">_xlfn.IFS(Table1[[#This Row],[Age]]&lt;=16,"15-16",Table1[[#This Row],[Age]]&lt;19,"17-18")</f>
        <v>15-16</v>
      </c>
      <c r="G248" s="2" t="s">
        <v>757</v>
      </c>
      <c r="H248" s="3">
        <v>0.89500000000000002</v>
      </c>
      <c r="I248" s="3">
        <v>0.84400000000000008</v>
      </c>
      <c r="J248" s="3" t="str" cm="1">
        <f t="array" ref="J248">_xlfn.IFS(Table1[[#This Row],[Overall Attendance]]&gt;=0.6,"Good",Table1[[#This Row],[Overall Attendance]]&lt;0.6,"Bad")</f>
        <v>Good</v>
      </c>
      <c r="K248" s="4">
        <v>200178</v>
      </c>
      <c r="L248" s="4">
        <f t="shared" si="6"/>
        <v>2402136</v>
      </c>
      <c r="M248" s="4" t="str" cm="1">
        <f t="array" ref="M24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48" s="2">
        <v>2.8</v>
      </c>
      <c r="O248" s="2" t="str" cm="1">
        <f t="array" ref="O248">_xlfn.IFS(Table1[[#This Row],[Distance to School (km)]]&gt;=5,"Far",Table1[[#This Row],[Distance to School (km)]]&lt;5,"Near")</f>
        <v>Near</v>
      </c>
      <c r="P248" s="5">
        <f t="shared" si="7"/>
        <v>0.13049999999999995</v>
      </c>
    </row>
    <row r="249" spans="1:16" ht="15" x14ac:dyDescent="0.25">
      <c r="A249" s="2" t="s">
        <v>254</v>
      </c>
      <c r="B249" s="2" t="s">
        <v>641</v>
      </c>
      <c r="C249" s="2" t="s">
        <v>717</v>
      </c>
      <c r="D249" s="2" t="s">
        <v>742</v>
      </c>
      <c r="E249" s="2">
        <v>17</v>
      </c>
      <c r="F249" s="2" t="str" cm="1">
        <f t="array" ref="F249">_xlfn.IFS(Table1[[#This Row],[Age]]&lt;=16,"15-16",Table1[[#This Row],[Age]]&lt;19,"17-18")</f>
        <v>17-18</v>
      </c>
      <c r="G249" s="2" t="s">
        <v>758</v>
      </c>
      <c r="H249" s="3">
        <v>0.56899999999999995</v>
      </c>
      <c r="I249" s="3">
        <v>0.75700000000000001</v>
      </c>
      <c r="J249" s="3" t="str" cm="1">
        <f t="array" ref="J249">_xlfn.IFS(Table1[[#This Row],[Overall Attendance]]&gt;=0.6,"Good",Table1[[#This Row],[Overall Attendance]]&lt;0.6,"Bad")</f>
        <v>Good</v>
      </c>
      <c r="K249" s="4">
        <v>32184</v>
      </c>
      <c r="L249" s="4">
        <f t="shared" si="6"/>
        <v>386208</v>
      </c>
      <c r="M249" s="4" t="str" cm="1">
        <f t="array" ref="M24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49" s="2">
        <v>5.0999999999999996</v>
      </c>
      <c r="O249" s="2" t="str" cm="1">
        <f t="array" ref="O249">_xlfn.IFS(Table1[[#This Row],[Distance to School (km)]]&gt;=5,"Far",Table1[[#This Row],[Distance to School (km)]]&lt;5,"Near")</f>
        <v>Far</v>
      </c>
      <c r="P249" s="5">
        <f t="shared" si="7"/>
        <v>0.33699999999999997</v>
      </c>
    </row>
    <row r="250" spans="1:16" ht="15" x14ac:dyDescent="0.25">
      <c r="A250" s="2" t="s">
        <v>255</v>
      </c>
      <c r="B250" s="2" t="s">
        <v>677</v>
      </c>
      <c r="C250" s="2" t="s">
        <v>729</v>
      </c>
      <c r="D250" s="2" t="s">
        <v>742</v>
      </c>
      <c r="E250" s="2">
        <v>18</v>
      </c>
      <c r="F250" s="2" t="str" cm="1">
        <f t="array" ref="F250">_xlfn.IFS(Table1[[#This Row],[Age]]&lt;=16,"15-16",Table1[[#This Row],[Age]]&lt;19,"17-18")</f>
        <v>17-18</v>
      </c>
      <c r="G250" s="2" t="s">
        <v>757</v>
      </c>
      <c r="H250" s="3">
        <v>0.61799999999999999</v>
      </c>
      <c r="I250" s="3">
        <v>0.81599999999999995</v>
      </c>
      <c r="J250" s="3" t="str" cm="1">
        <f t="array" ref="J250">_xlfn.IFS(Table1[[#This Row],[Overall Attendance]]&gt;=0.6,"Good",Table1[[#This Row],[Overall Attendance]]&lt;0.6,"Bad")</f>
        <v>Good</v>
      </c>
      <c r="K250" s="4">
        <v>55108</v>
      </c>
      <c r="L250" s="4">
        <f t="shared" si="6"/>
        <v>661296</v>
      </c>
      <c r="M250" s="4" t="str" cm="1">
        <f t="array" ref="M25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50" s="2">
        <v>6.5</v>
      </c>
      <c r="O250" s="2" t="str" cm="1">
        <f t="array" ref="O250">_xlfn.IFS(Table1[[#This Row],[Distance to School (km)]]&gt;=5,"Far",Table1[[#This Row],[Distance to School (km)]]&lt;5,"Near")</f>
        <v>Far</v>
      </c>
      <c r="P250" s="5">
        <f t="shared" si="7"/>
        <v>0.28300000000000003</v>
      </c>
    </row>
    <row r="251" spans="1:16" ht="15" hidden="1" x14ac:dyDescent="0.25">
      <c r="A251" s="2" t="s">
        <v>256</v>
      </c>
      <c r="B251" s="2" t="s">
        <v>682</v>
      </c>
      <c r="C251" s="2" t="s">
        <v>685</v>
      </c>
      <c r="D251" s="2" t="s">
        <v>743</v>
      </c>
      <c r="E251" s="2">
        <v>15</v>
      </c>
      <c r="F251" s="2" t="str" cm="1">
        <f t="array" ref="F251">_xlfn.IFS(Table1[[#This Row],[Age]]&lt;=16,"15-16",Table1[[#This Row],[Age]]&lt;19,"17-18")</f>
        <v>15-16</v>
      </c>
      <c r="G251" s="2" t="s">
        <v>757</v>
      </c>
      <c r="H251" s="3">
        <v>0.745</v>
      </c>
      <c r="I251" s="3">
        <v>0.81200000000000006</v>
      </c>
      <c r="J251" s="3" t="str" cm="1">
        <f t="array" ref="J251">_xlfn.IFS(Table1[[#This Row],[Overall Attendance]]&gt;=0.6,"Good",Table1[[#This Row],[Overall Attendance]]&lt;0.6,"Bad")</f>
        <v>Good</v>
      </c>
      <c r="K251" s="4">
        <v>260018</v>
      </c>
      <c r="L251" s="4">
        <f t="shared" si="6"/>
        <v>3120216</v>
      </c>
      <c r="M251" s="4" t="str" cm="1">
        <f t="array" ref="M25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51" s="2">
        <v>1.5</v>
      </c>
      <c r="O251" s="2" t="str" cm="1">
        <f t="array" ref="O251">_xlfn.IFS(Table1[[#This Row],[Distance to School (km)]]&gt;=5,"Far",Table1[[#This Row],[Distance to School (km)]]&lt;5,"Near")</f>
        <v>Near</v>
      </c>
      <c r="P251" s="5">
        <f t="shared" si="7"/>
        <v>0.22150000000000003</v>
      </c>
    </row>
    <row r="252" spans="1:16" ht="15" hidden="1" x14ac:dyDescent="0.25">
      <c r="A252" s="2" t="s">
        <v>257</v>
      </c>
      <c r="B252" s="2" t="s">
        <v>651</v>
      </c>
      <c r="C252" s="2" t="s">
        <v>735</v>
      </c>
      <c r="D252" s="2" t="s">
        <v>748</v>
      </c>
      <c r="E252" s="2">
        <v>15</v>
      </c>
      <c r="F252" s="2" t="str" cm="1">
        <f t="array" ref="F252">_xlfn.IFS(Table1[[#This Row],[Age]]&lt;=16,"15-16",Table1[[#This Row],[Age]]&lt;19,"17-18")</f>
        <v>15-16</v>
      </c>
      <c r="G252" s="2" t="s">
        <v>757</v>
      </c>
      <c r="H252" s="3">
        <v>0.755</v>
      </c>
      <c r="I252" s="3">
        <v>0.95099999999999996</v>
      </c>
      <c r="J252" s="3" t="str" cm="1">
        <f t="array" ref="J252">_xlfn.IFS(Table1[[#This Row],[Overall Attendance]]&gt;=0.6,"Good",Table1[[#This Row],[Overall Attendance]]&lt;0.6,"Bad")</f>
        <v>Good</v>
      </c>
      <c r="K252" s="4">
        <v>558726</v>
      </c>
      <c r="L252" s="4">
        <f t="shared" si="6"/>
        <v>6704712</v>
      </c>
      <c r="M252" s="4" t="str" cm="1">
        <f t="array" ref="M252">_xlfn.IFS(Table1[[#This Row],[Family Income per Year]]&gt;=5000000,"High Income",Table1[[#This Row],[Family Income per Year]]&gt;=1000000,"Middle Income",Table1[[#This Row],[Family Income per Year]]&lt;1000000,"Low Income")</f>
        <v>High Income</v>
      </c>
      <c r="N252" s="2">
        <v>1.3</v>
      </c>
      <c r="O252" s="2" t="str" cm="1">
        <f t="array" ref="O252">_xlfn.IFS(Table1[[#This Row],[Distance to School (km)]]&gt;=5,"Far",Table1[[#This Row],[Distance to School (km)]]&lt;5,"Near")</f>
        <v>Near</v>
      </c>
      <c r="P252" s="5">
        <f t="shared" si="7"/>
        <v>0.14700000000000002</v>
      </c>
    </row>
    <row r="253" spans="1:16" ht="15" hidden="1" x14ac:dyDescent="0.25">
      <c r="A253" s="2" t="s">
        <v>258</v>
      </c>
      <c r="B253" s="2" t="s">
        <v>646</v>
      </c>
      <c r="C253" s="2" t="s">
        <v>690</v>
      </c>
      <c r="D253" s="2" t="s">
        <v>738</v>
      </c>
      <c r="E253" s="2">
        <v>15</v>
      </c>
      <c r="F253" s="2" t="str" cm="1">
        <f t="array" ref="F253">_xlfn.IFS(Table1[[#This Row],[Age]]&lt;=16,"15-16",Table1[[#This Row],[Age]]&lt;19,"17-18")</f>
        <v>15-16</v>
      </c>
      <c r="G253" s="2" t="s">
        <v>757</v>
      </c>
      <c r="H253" s="3">
        <v>0.34</v>
      </c>
      <c r="I253" s="3">
        <v>0.5</v>
      </c>
      <c r="J253" s="3" t="str" cm="1">
        <f t="array" ref="J253">_xlfn.IFS(Table1[[#This Row],[Overall Attendance]]&gt;=0.6,"Good",Table1[[#This Row],[Overall Attendance]]&lt;0.6,"Bad")</f>
        <v>Bad</v>
      </c>
      <c r="K253" s="4">
        <v>90376</v>
      </c>
      <c r="L253" s="4">
        <f t="shared" si="6"/>
        <v>1084512</v>
      </c>
      <c r="M253" s="4" t="str" cm="1">
        <f t="array" ref="M25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53" s="2">
        <v>1.5</v>
      </c>
      <c r="O253" s="2" t="str" cm="1">
        <f t="array" ref="O253">_xlfn.IFS(Table1[[#This Row],[Distance to School (km)]]&gt;=5,"Far",Table1[[#This Row],[Distance to School (km)]]&lt;5,"Near")</f>
        <v>Near</v>
      </c>
      <c r="P253" s="5">
        <f t="shared" si="7"/>
        <v>0.57999999999999996</v>
      </c>
    </row>
    <row r="254" spans="1:16" ht="15" hidden="1" x14ac:dyDescent="0.25">
      <c r="A254" s="2" t="s">
        <v>259</v>
      </c>
      <c r="B254" s="2" t="s">
        <v>661</v>
      </c>
      <c r="C254" s="2" t="s">
        <v>687</v>
      </c>
      <c r="D254" s="2" t="s">
        <v>747</v>
      </c>
      <c r="E254" s="2">
        <v>16</v>
      </c>
      <c r="F254" s="2" t="str" cm="1">
        <f t="array" ref="F254">_xlfn.IFS(Table1[[#This Row],[Age]]&lt;=16,"15-16",Table1[[#This Row],[Age]]&lt;19,"17-18")</f>
        <v>15-16</v>
      </c>
      <c r="G254" s="2" t="s">
        <v>757</v>
      </c>
      <c r="H254" s="3">
        <v>0.60599999999999998</v>
      </c>
      <c r="I254" s="3">
        <v>0.72799999999999998</v>
      </c>
      <c r="J254" s="3" t="str" cm="1">
        <f t="array" ref="J254">_xlfn.IFS(Table1[[#This Row],[Overall Attendance]]&gt;=0.6,"Good",Table1[[#This Row],[Overall Attendance]]&lt;0.6,"Bad")</f>
        <v>Good</v>
      </c>
      <c r="K254" s="4">
        <v>118328</v>
      </c>
      <c r="L254" s="4">
        <f t="shared" si="6"/>
        <v>1419936</v>
      </c>
      <c r="M254" s="4" t="str" cm="1">
        <f t="array" ref="M25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54" s="2">
        <v>7.9</v>
      </c>
      <c r="O254" s="2" t="str" cm="1">
        <f t="array" ref="O254">_xlfn.IFS(Table1[[#This Row],[Distance to School (km)]]&gt;=5,"Far",Table1[[#This Row],[Distance to School (km)]]&lt;5,"Near")</f>
        <v>Far</v>
      </c>
      <c r="P254" s="5">
        <f t="shared" si="7"/>
        <v>0.33299999999999996</v>
      </c>
    </row>
    <row r="255" spans="1:16" ht="15" hidden="1" x14ac:dyDescent="0.25">
      <c r="A255" s="2" t="s">
        <v>260</v>
      </c>
      <c r="B255" s="2" t="s">
        <v>671</v>
      </c>
      <c r="C255" s="2" t="s">
        <v>714</v>
      </c>
      <c r="D255" s="2" t="s">
        <v>668</v>
      </c>
      <c r="E255" s="2">
        <v>15</v>
      </c>
      <c r="F255" s="2" t="str" cm="1">
        <f t="array" ref="F255">_xlfn.IFS(Table1[[#This Row],[Age]]&lt;=16,"15-16",Table1[[#This Row],[Age]]&lt;19,"17-18")</f>
        <v>15-16</v>
      </c>
      <c r="G255" s="2" t="s">
        <v>758</v>
      </c>
      <c r="H255" s="3">
        <v>0.67799999999999994</v>
      </c>
      <c r="I255" s="3">
        <v>0.77200000000000002</v>
      </c>
      <c r="J255" s="3" t="str" cm="1">
        <f t="array" ref="J255">_xlfn.IFS(Table1[[#This Row],[Overall Attendance]]&gt;=0.6,"Good",Table1[[#This Row],[Overall Attendance]]&lt;0.6,"Bad")</f>
        <v>Good</v>
      </c>
      <c r="K255" s="4">
        <v>396043</v>
      </c>
      <c r="L255" s="4">
        <f t="shared" si="6"/>
        <v>4752516</v>
      </c>
      <c r="M255" s="4" t="str" cm="1">
        <f t="array" ref="M25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55" s="2">
        <v>3.9</v>
      </c>
      <c r="O255" s="2" t="str" cm="1">
        <f t="array" ref="O255">_xlfn.IFS(Table1[[#This Row],[Distance to School (km)]]&gt;=5,"Far",Table1[[#This Row],[Distance to School (km)]]&lt;5,"Near")</f>
        <v>Near</v>
      </c>
      <c r="P255" s="5">
        <f t="shared" si="7"/>
        <v>0.27500000000000002</v>
      </c>
    </row>
    <row r="256" spans="1:16" ht="15" x14ac:dyDescent="0.25">
      <c r="A256" s="2" t="s">
        <v>261</v>
      </c>
      <c r="B256" s="2" t="s">
        <v>647</v>
      </c>
      <c r="C256" s="2" t="s">
        <v>646</v>
      </c>
      <c r="D256" s="2" t="s">
        <v>743</v>
      </c>
      <c r="E256" s="2">
        <v>18</v>
      </c>
      <c r="F256" s="2" t="str" cm="1">
        <f t="array" ref="F256">_xlfn.IFS(Table1[[#This Row],[Age]]&lt;=16,"15-16",Table1[[#This Row],[Age]]&lt;19,"17-18")</f>
        <v>17-18</v>
      </c>
      <c r="G256" s="2" t="s">
        <v>757</v>
      </c>
      <c r="H256" s="3">
        <v>0.63</v>
      </c>
      <c r="I256" s="3">
        <v>0.96200000000000008</v>
      </c>
      <c r="J256" s="3" t="str" cm="1">
        <f t="array" ref="J256">_xlfn.IFS(Table1[[#This Row],[Overall Attendance]]&gt;=0.6,"Good",Table1[[#This Row],[Overall Attendance]]&lt;0.6,"Bad")</f>
        <v>Good</v>
      </c>
      <c r="K256" s="4">
        <v>101582</v>
      </c>
      <c r="L256" s="4">
        <f t="shared" si="6"/>
        <v>1218984</v>
      </c>
      <c r="M256" s="4" t="str" cm="1">
        <f t="array" ref="M25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56" s="2">
        <v>2</v>
      </c>
      <c r="O256" s="2" t="str" cm="1">
        <f t="array" ref="O256">_xlfn.IFS(Table1[[#This Row],[Distance to School (km)]]&gt;=5,"Far",Table1[[#This Row],[Distance to School (km)]]&lt;5,"Near")</f>
        <v>Near</v>
      </c>
      <c r="P256" s="5">
        <f t="shared" si="7"/>
        <v>0.20399999999999996</v>
      </c>
    </row>
    <row r="257" spans="1:16" ht="15" hidden="1" x14ac:dyDescent="0.25">
      <c r="A257" s="2" t="s">
        <v>262</v>
      </c>
      <c r="B257" s="2" t="s">
        <v>678</v>
      </c>
      <c r="C257" s="2" t="s">
        <v>694</v>
      </c>
      <c r="D257" s="2" t="s">
        <v>752</v>
      </c>
      <c r="E257" s="2">
        <v>16</v>
      </c>
      <c r="F257" s="2" t="str" cm="1">
        <f t="array" ref="F257">_xlfn.IFS(Table1[[#This Row],[Age]]&lt;=16,"15-16",Table1[[#This Row],[Age]]&lt;19,"17-18")</f>
        <v>15-16</v>
      </c>
      <c r="G257" s="2" t="s">
        <v>758</v>
      </c>
      <c r="H257" s="3">
        <v>0.45</v>
      </c>
      <c r="I257" s="3">
        <v>0.4</v>
      </c>
      <c r="J257" s="3" t="str" cm="1">
        <f t="array" ref="J257">_xlfn.IFS(Table1[[#This Row],[Overall Attendance]]&gt;=0.6,"Good",Table1[[#This Row],[Overall Attendance]]&lt;0.6,"Bad")</f>
        <v>Bad</v>
      </c>
      <c r="K257" s="4">
        <v>45243</v>
      </c>
      <c r="L257" s="4">
        <f t="shared" si="6"/>
        <v>542916</v>
      </c>
      <c r="M257" s="4" t="str" cm="1">
        <f t="array" ref="M25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57" s="2">
        <v>0.7</v>
      </c>
      <c r="O257" s="2" t="str" cm="1">
        <f t="array" ref="O257">_xlfn.IFS(Table1[[#This Row],[Distance to School (km)]]&gt;=5,"Far",Table1[[#This Row],[Distance to School (km)]]&lt;5,"Near")</f>
        <v>Near</v>
      </c>
      <c r="P257" s="5">
        <f t="shared" si="7"/>
        <v>0.57499999999999996</v>
      </c>
    </row>
    <row r="258" spans="1:16" ht="15" hidden="1" x14ac:dyDescent="0.25">
      <c r="A258" s="2" t="s">
        <v>263</v>
      </c>
      <c r="B258" s="2" t="s">
        <v>649</v>
      </c>
      <c r="C258" s="2" t="s">
        <v>733</v>
      </c>
      <c r="D258" s="2" t="s">
        <v>755</v>
      </c>
      <c r="E258" s="2">
        <v>16</v>
      </c>
      <c r="F258" s="2" t="str" cm="1">
        <f t="array" ref="F258">_xlfn.IFS(Table1[[#This Row],[Age]]&lt;=16,"15-16",Table1[[#This Row],[Age]]&lt;19,"17-18")</f>
        <v>15-16</v>
      </c>
      <c r="G258" s="2" t="s">
        <v>757</v>
      </c>
      <c r="H258" s="3">
        <v>0.45100000000000001</v>
      </c>
      <c r="I258" s="3">
        <v>0.81400000000000006</v>
      </c>
      <c r="J258" s="3" t="str" cm="1">
        <f t="array" ref="J258">_xlfn.IFS(Table1[[#This Row],[Overall Attendance]]&gt;=0.6,"Good",Table1[[#This Row],[Overall Attendance]]&lt;0.6,"Bad")</f>
        <v>Good</v>
      </c>
      <c r="K258" s="4">
        <v>383976</v>
      </c>
      <c r="L258" s="4">
        <f t="shared" si="6"/>
        <v>4607712</v>
      </c>
      <c r="M258" s="4" t="str" cm="1">
        <f t="array" ref="M25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58" s="2">
        <v>1.4</v>
      </c>
      <c r="O258" s="2" t="str" cm="1">
        <f t="array" ref="O258">_xlfn.IFS(Table1[[#This Row],[Distance to School (km)]]&gt;=5,"Far",Table1[[#This Row],[Distance to School (km)]]&lt;5,"Near")</f>
        <v>Near</v>
      </c>
      <c r="P258" s="5">
        <f t="shared" si="7"/>
        <v>0.36749999999999994</v>
      </c>
    </row>
    <row r="259" spans="1:16" ht="15" hidden="1" x14ac:dyDescent="0.25">
      <c r="A259" s="2" t="s">
        <v>264</v>
      </c>
      <c r="B259" s="2" t="s">
        <v>676</v>
      </c>
      <c r="C259" s="2" t="s">
        <v>693</v>
      </c>
      <c r="D259" s="2" t="s">
        <v>742</v>
      </c>
      <c r="E259" s="2">
        <v>15</v>
      </c>
      <c r="F259" s="2" t="str" cm="1">
        <f t="array" ref="F259">_xlfn.IFS(Table1[[#This Row],[Age]]&lt;=16,"15-16",Table1[[#This Row],[Age]]&lt;19,"17-18")</f>
        <v>15-16</v>
      </c>
      <c r="G259" s="2" t="s">
        <v>758</v>
      </c>
      <c r="H259" s="3">
        <v>0.53900000000000003</v>
      </c>
      <c r="I259" s="3">
        <v>0.81499999999999995</v>
      </c>
      <c r="J259" s="3" t="str" cm="1">
        <f t="array" ref="J259">_xlfn.IFS(Table1[[#This Row],[Overall Attendance]]&gt;=0.6,"Good",Table1[[#This Row],[Overall Attendance]]&lt;0.6,"Bad")</f>
        <v>Good</v>
      </c>
      <c r="K259" s="4">
        <v>285656</v>
      </c>
      <c r="L259" s="4">
        <f t="shared" ref="L259:L322" si="8">K259*12</f>
        <v>3427872</v>
      </c>
      <c r="M259" s="4" t="str" cm="1">
        <f t="array" ref="M25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59" s="2">
        <v>7.2</v>
      </c>
      <c r="O259" s="2" t="str" cm="1">
        <f t="array" ref="O259">_xlfn.IFS(Table1[[#This Row],[Distance to School (km)]]&gt;=5,"Far",Table1[[#This Row],[Distance to School (km)]]&lt;5,"Near")</f>
        <v>Far</v>
      </c>
      <c r="P259" s="5">
        <f t="shared" ref="P259:P322" si="9">100%-AVERAGE(H259:I259)</f>
        <v>0.32299999999999995</v>
      </c>
    </row>
    <row r="260" spans="1:16" ht="15" hidden="1" x14ac:dyDescent="0.25">
      <c r="A260" s="2" t="s">
        <v>265</v>
      </c>
      <c r="B260" s="2" t="s">
        <v>666</v>
      </c>
      <c r="C260" s="2" t="s">
        <v>713</v>
      </c>
      <c r="D260" s="2" t="s">
        <v>738</v>
      </c>
      <c r="E260" s="2">
        <v>15</v>
      </c>
      <c r="F260" s="2" t="str" cm="1">
        <f t="array" ref="F260">_xlfn.IFS(Table1[[#This Row],[Age]]&lt;=16,"15-16",Table1[[#This Row],[Age]]&lt;19,"17-18")</f>
        <v>15-16</v>
      </c>
      <c r="G260" s="2" t="s">
        <v>758</v>
      </c>
      <c r="H260" s="3">
        <v>0.70499999999999996</v>
      </c>
      <c r="I260" s="3">
        <v>0.79900000000000004</v>
      </c>
      <c r="J260" s="3" t="str" cm="1">
        <f t="array" ref="J260">_xlfn.IFS(Table1[[#This Row],[Overall Attendance]]&gt;=0.6,"Good",Table1[[#This Row],[Overall Attendance]]&lt;0.6,"Bad")</f>
        <v>Good</v>
      </c>
      <c r="K260" s="4">
        <v>230406</v>
      </c>
      <c r="L260" s="4">
        <f t="shared" si="8"/>
        <v>2764872</v>
      </c>
      <c r="M260" s="4" t="str" cm="1">
        <f t="array" ref="M26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60" s="2">
        <v>7.5</v>
      </c>
      <c r="O260" s="2" t="str" cm="1">
        <f t="array" ref="O260">_xlfn.IFS(Table1[[#This Row],[Distance to School (km)]]&gt;=5,"Far",Table1[[#This Row],[Distance to School (km)]]&lt;5,"Near")</f>
        <v>Far</v>
      </c>
      <c r="P260" s="5">
        <f t="shared" si="9"/>
        <v>0.248</v>
      </c>
    </row>
    <row r="261" spans="1:16" ht="15" x14ac:dyDescent="0.25">
      <c r="A261" s="2" t="s">
        <v>266</v>
      </c>
      <c r="B261" s="2" t="s">
        <v>663</v>
      </c>
      <c r="C261" s="2" t="s">
        <v>723</v>
      </c>
      <c r="D261" s="2" t="s">
        <v>738</v>
      </c>
      <c r="E261" s="2">
        <v>17</v>
      </c>
      <c r="F261" s="2" t="str" cm="1">
        <f t="array" ref="F261">_xlfn.IFS(Table1[[#This Row],[Age]]&lt;=16,"15-16",Table1[[#This Row],[Age]]&lt;19,"17-18")</f>
        <v>17-18</v>
      </c>
      <c r="G261" s="2" t="s">
        <v>758</v>
      </c>
      <c r="H261" s="3">
        <v>0.629</v>
      </c>
      <c r="I261" s="3">
        <v>0.83400000000000007</v>
      </c>
      <c r="J261" s="3" t="str" cm="1">
        <f t="array" ref="J261">_xlfn.IFS(Table1[[#This Row],[Overall Attendance]]&gt;=0.6,"Good",Table1[[#This Row],[Overall Attendance]]&lt;0.6,"Bad")</f>
        <v>Good</v>
      </c>
      <c r="K261" s="4">
        <v>242948</v>
      </c>
      <c r="L261" s="4">
        <f t="shared" si="8"/>
        <v>2915376</v>
      </c>
      <c r="M261" s="4" t="str" cm="1">
        <f t="array" ref="M26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61" s="2">
        <v>11.5</v>
      </c>
      <c r="O261" s="2" t="str" cm="1">
        <f t="array" ref="O261">_xlfn.IFS(Table1[[#This Row],[Distance to School (km)]]&gt;=5,"Far",Table1[[#This Row],[Distance to School (km)]]&lt;5,"Near")</f>
        <v>Far</v>
      </c>
      <c r="P261" s="5">
        <f t="shared" si="9"/>
        <v>0.26849999999999996</v>
      </c>
    </row>
    <row r="262" spans="1:16" ht="15" hidden="1" x14ac:dyDescent="0.25">
      <c r="A262" s="2" t="s">
        <v>267</v>
      </c>
      <c r="B262" s="2" t="s">
        <v>648</v>
      </c>
      <c r="C262" s="2" t="s">
        <v>689</v>
      </c>
      <c r="D262" s="2" t="s">
        <v>738</v>
      </c>
      <c r="E262" s="2">
        <v>15</v>
      </c>
      <c r="F262" s="2" t="str" cm="1">
        <f t="array" ref="F262">_xlfn.IFS(Table1[[#This Row],[Age]]&lt;=16,"15-16",Table1[[#This Row],[Age]]&lt;19,"17-18")</f>
        <v>15-16</v>
      </c>
      <c r="G262" s="2" t="s">
        <v>757</v>
      </c>
      <c r="H262" s="3">
        <v>0.63800000000000001</v>
      </c>
      <c r="I262" s="3">
        <v>0.74199999999999999</v>
      </c>
      <c r="J262" s="3" t="str" cm="1">
        <f t="array" ref="J262">_xlfn.IFS(Table1[[#This Row],[Overall Attendance]]&gt;=0.6,"Good",Table1[[#This Row],[Overall Attendance]]&lt;0.6,"Bad")</f>
        <v>Good</v>
      </c>
      <c r="K262" s="4">
        <v>287822</v>
      </c>
      <c r="L262" s="4">
        <f t="shared" si="8"/>
        <v>3453864</v>
      </c>
      <c r="M262" s="4" t="str" cm="1">
        <f t="array" ref="M26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62" s="2">
        <v>3.6</v>
      </c>
      <c r="O262" s="2" t="str" cm="1">
        <f t="array" ref="O262">_xlfn.IFS(Table1[[#This Row],[Distance to School (km)]]&gt;=5,"Far",Table1[[#This Row],[Distance to School (km)]]&lt;5,"Near")</f>
        <v>Near</v>
      </c>
      <c r="P262" s="5">
        <f t="shared" si="9"/>
        <v>0.31000000000000005</v>
      </c>
    </row>
    <row r="263" spans="1:16" ht="15" x14ac:dyDescent="0.25">
      <c r="A263" s="2" t="s">
        <v>268</v>
      </c>
      <c r="B263" s="2" t="s">
        <v>675</v>
      </c>
      <c r="C263" s="2" t="s">
        <v>713</v>
      </c>
      <c r="D263" s="2" t="s">
        <v>641</v>
      </c>
      <c r="E263" s="2">
        <v>17</v>
      </c>
      <c r="F263" s="2" t="str" cm="1">
        <f t="array" ref="F263">_xlfn.IFS(Table1[[#This Row],[Age]]&lt;=16,"15-16",Table1[[#This Row],[Age]]&lt;19,"17-18")</f>
        <v>17-18</v>
      </c>
      <c r="G263" s="2" t="s">
        <v>758</v>
      </c>
      <c r="H263" s="3">
        <v>0.73699999999999999</v>
      </c>
      <c r="I263" s="3">
        <v>0.871</v>
      </c>
      <c r="J263" s="3" t="str" cm="1">
        <f t="array" ref="J263">_xlfn.IFS(Table1[[#This Row],[Overall Attendance]]&gt;=0.6,"Good",Table1[[#This Row],[Overall Attendance]]&lt;0.6,"Bad")</f>
        <v>Good</v>
      </c>
      <c r="K263" s="4">
        <v>53634</v>
      </c>
      <c r="L263" s="4">
        <f t="shared" si="8"/>
        <v>643608</v>
      </c>
      <c r="M263" s="4" t="str" cm="1">
        <f t="array" ref="M26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63" s="2">
        <v>4.7</v>
      </c>
      <c r="O263" s="2" t="str" cm="1">
        <f t="array" ref="O263">_xlfn.IFS(Table1[[#This Row],[Distance to School (km)]]&gt;=5,"Far",Table1[[#This Row],[Distance to School (km)]]&lt;5,"Near")</f>
        <v>Near</v>
      </c>
      <c r="P263" s="5">
        <f t="shared" si="9"/>
        <v>0.19599999999999995</v>
      </c>
    </row>
    <row r="264" spans="1:16" ht="15" x14ac:dyDescent="0.25">
      <c r="A264" s="2" t="s">
        <v>269</v>
      </c>
      <c r="B264" s="2" t="s">
        <v>675</v>
      </c>
      <c r="C264" s="2" t="s">
        <v>727</v>
      </c>
      <c r="D264" s="2" t="s">
        <v>668</v>
      </c>
      <c r="E264" s="2">
        <v>17</v>
      </c>
      <c r="F264" s="2" t="str" cm="1">
        <f t="array" ref="F264">_xlfn.IFS(Table1[[#This Row],[Age]]&lt;=16,"15-16",Table1[[#This Row],[Age]]&lt;19,"17-18")</f>
        <v>17-18</v>
      </c>
      <c r="G264" s="2" t="s">
        <v>757</v>
      </c>
      <c r="H264" s="3">
        <v>0.60499999999999998</v>
      </c>
      <c r="I264" s="3">
        <v>0.74900000000000011</v>
      </c>
      <c r="J264" s="3" t="str" cm="1">
        <f t="array" ref="J264">_xlfn.IFS(Table1[[#This Row],[Overall Attendance]]&gt;=0.6,"Good",Table1[[#This Row],[Overall Attendance]]&lt;0.6,"Bad")</f>
        <v>Good</v>
      </c>
      <c r="K264" s="4">
        <v>50169</v>
      </c>
      <c r="L264" s="4">
        <f t="shared" si="8"/>
        <v>602028</v>
      </c>
      <c r="M264" s="4" t="str" cm="1">
        <f t="array" ref="M26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64" s="2">
        <v>1</v>
      </c>
      <c r="O264" s="2" t="str" cm="1">
        <f t="array" ref="O264">_xlfn.IFS(Table1[[#This Row],[Distance to School (km)]]&gt;=5,"Far",Table1[[#This Row],[Distance to School (km)]]&lt;5,"Near")</f>
        <v>Near</v>
      </c>
      <c r="P264" s="5">
        <f t="shared" si="9"/>
        <v>0.32299999999999995</v>
      </c>
    </row>
    <row r="265" spans="1:16" ht="15" x14ac:dyDescent="0.25">
      <c r="A265" s="2" t="s">
        <v>270</v>
      </c>
      <c r="B265" s="2" t="s">
        <v>684</v>
      </c>
      <c r="C265" s="2" t="s">
        <v>706</v>
      </c>
      <c r="D265" s="2" t="s">
        <v>745</v>
      </c>
      <c r="E265" s="2">
        <v>17</v>
      </c>
      <c r="F265" s="2" t="str" cm="1">
        <f t="array" ref="F265">_xlfn.IFS(Table1[[#This Row],[Age]]&lt;=16,"15-16",Table1[[#This Row],[Age]]&lt;19,"17-18")</f>
        <v>17-18</v>
      </c>
      <c r="G265" s="2" t="s">
        <v>758</v>
      </c>
      <c r="H265" s="3">
        <v>0.36899999999999999</v>
      </c>
      <c r="I265" s="3">
        <v>0.748</v>
      </c>
      <c r="J265" s="3" t="str" cm="1">
        <f t="array" ref="J265">_xlfn.IFS(Table1[[#This Row],[Overall Attendance]]&gt;=0.6,"Good",Table1[[#This Row],[Overall Attendance]]&lt;0.6,"Bad")</f>
        <v>Good</v>
      </c>
      <c r="K265" s="4">
        <v>154968</v>
      </c>
      <c r="L265" s="4">
        <f t="shared" si="8"/>
        <v>1859616</v>
      </c>
      <c r="M265" s="4" t="str" cm="1">
        <f t="array" ref="M26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65" s="2">
        <v>3.4</v>
      </c>
      <c r="O265" s="2" t="str" cm="1">
        <f t="array" ref="O265">_xlfn.IFS(Table1[[#This Row],[Distance to School (km)]]&gt;=5,"Far",Table1[[#This Row],[Distance to School (km)]]&lt;5,"Near")</f>
        <v>Near</v>
      </c>
      <c r="P265" s="5">
        <f t="shared" si="9"/>
        <v>0.4415</v>
      </c>
    </row>
    <row r="266" spans="1:16" ht="15" hidden="1" x14ac:dyDescent="0.25">
      <c r="A266" s="2" t="s">
        <v>271</v>
      </c>
      <c r="B266" s="2" t="s">
        <v>679</v>
      </c>
      <c r="C266" s="2" t="s">
        <v>711</v>
      </c>
      <c r="D266" s="2" t="s">
        <v>747</v>
      </c>
      <c r="E266" s="2">
        <v>15</v>
      </c>
      <c r="F266" s="2" t="str" cm="1">
        <f t="array" ref="F266">_xlfn.IFS(Table1[[#This Row],[Age]]&lt;=16,"15-16",Table1[[#This Row],[Age]]&lt;19,"17-18")</f>
        <v>15-16</v>
      </c>
      <c r="G266" s="2" t="s">
        <v>758</v>
      </c>
      <c r="H266" s="3">
        <v>0.52100000000000002</v>
      </c>
      <c r="I266" s="3">
        <v>0.90500000000000003</v>
      </c>
      <c r="J266" s="3" t="str" cm="1">
        <f t="array" ref="J266">_xlfn.IFS(Table1[[#This Row],[Overall Attendance]]&gt;=0.6,"Good",Table1[[#This Row],[Overall Attendance]]&lt;0.6,"Bad")</f>
        <v>Good</v>
      </c>
      <c r="K266" s="4">
        <v>49554</v>
      </c>
      <c r="L266" s="4">
        <f t="shared" si="8"/>
        <v>594648</v>
      </c>
      <c r="M266" s="4" t="str" cm="1">
        <f t="array" ref="M26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66" s="2">
        <v>11.5</v>
      </c>
      <c r="O266" s="2" t="str" cm="1">
        <f t="array" ref="O266">_xlfn.IFS(Table1[[#This Row],[Distance to School (km)]]&gt;=5,"Far",Table1[[#This Row],[Distance to School (km)]]&lt;5,"Near")</f>
        <v>Far</v>
      </c>
      <c r="P266" s="5">
        <f t="shared" si="9"/>
        <v>0.28699999999999992</v>
      </c>
    </row>
    <row r="267" spans="1:16" ht="15" x14ac:dyDescent="0.25">
      <c r="A267" s="2" t="s">
        <v>272</v>
      </c>
      <c r="B267" s="2" t="s">
        <v>683</v>
      </c>
      <c r="C267" s="2" t="s">
        <v>716</v>
      </c>
      <c r="D267" s="2" t="s">
        <v>739</v>
      </c>
      <c r="E267" s="2">
        <v>17</v>
      </c>
      <c r="F267" s="2" t="str" cm="1">
        <f t="array" ref="F267">_xlfn.IFS(Table1[[#This Row],[Age]]&lt;=16,"15-16",Table1[[#This Row],[Age]]&lt;19,"17-18")</f>
        <v>17-18</v>
      </c>
      <c r="G267" s="2" t="s">
        <v>758</v>
      </c>
      <c r="H267" s="3">
        <v>0.68</v>
      </c>
      <c r="I267" s="3">
        <v>0.746</v>
      </c>
      <c r="J267" s="3" t="str" cm="1">
        <f t="array" ref="J267">_xlfn.IFS(Table1[[#This Row],[Overall Attendance]]&gt;=0.6,"Good",Table1[[#This Row],[Overall Attendance]]&lt;0.6,"Bad")</f>
        <v>Good</v>
      </c>
      <c r="K267" s="4">
        <v>79934</v>
      </c>
      <c r="L267" s="4">
        <f t="shared" si="8"/>
        <v>959208</v>
      </c>
      <c r="M267" s="4" t="str" cm="1">
        <f t="array" ref="M26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67" s="2">
        <v>3.9</v>
      </c>
      <c r="O267" s="2" t="str" cm="1">
        <f t="array" ref="O267">_xlfn.IFS(Table1[[#This Row],[Distance to School (km)]]&gt;=5,"Far",Table1[[#This Row],[Distance to School (km)]]&lt;5,"Near")</f>
        <v>Near</v>
      </c>
      <c r="P267" s="5">
        <f t="shared" si="9"/>
        <v>0.28699999999999992</v>
      </c>
    </row>
    <row r="268" spans="1:16" ht="15" x14ac:dyDescent="0.25">
      <c r="A268" s="2" t="s">
        <v>273</v>
      </c>
      <c r="B268" s="2" t="s">
        <v>651</v>
      </c>
      <c r="C268" s="2" t="s">
        <v>690</v>
      </c>
      <c r="D268" s="2" t="s">
        <v>747</v>
      </c>
      <c r="E268" s="2">
        <v>18</v>
      </c>
      <c r="F268" s="2" t="str" cm="1">
        <f t="array" ref="F268">_xlfn.IFS(Table1[[#This Row],[Age]]&lt;=16,"15-16",Table1[[#This Row],[Age]]&lt;19,"17-18")</f>
        <v>17-18</v>
      </c>
      <c r="G268" s="2" t="s">
        <v>757</v>
      </c>
      <c r="H268" s="3">
        <v>0.92</v>
      </c>
      <c r="I268" s="3">
        <v>0.75800000000000001</v>
      </c>
      <c r="J268" s="3" t="str" cm="1">
        <f t="array" ref="J268">_xlfn.IFS(Table1[[#This Row],[Overall Attendance]]&gt;=0.6,"Good",Table1[[#This Row],[Overall Attendance]]&lt;0.6,"Bad")</f>
        <v>Good</v>
      </c>
      <c r="K268" s="4">
        <v>62808</v>
      </c>
      <c r="L268" s="4">
        <f t="shared" si="8"/>
        <v>753696</v>
      </c>
      <c r="M268" s="4" t="str" cm="1">
        <f t="array" ref="M26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68" s="2">
        <v>2.2000000000000002</v>
      </c>
      <c r="O268" s="2" t="str" cm="1">
        <f t="array" ref="O268">_xlfn.IFS(Table1[[#This Row],[Distance to School (km)]]&gt;=5,"Far",Table1[[#This Row],[Distance to School (km)]]&lt;5,"Near")</f>
        <v>Near</v>
      </c>
      <c r="P268" s="5">
        <f t="shared" si="9"/>
        <v>0.16100000000000003</v>
      </c>
    </row>
    <row r="269" spans="1:16" ht="15" x14ac:dyDescent="0.25">
      <c r="A269" s="2" t="s">
        <v>274</v>
      </c>
      <c r="B269" s="2" t="s">
        <v>656</v>
      </c>
      <c r="C269" s="2" t="s">
        <v>686</v>
      </c>
      <c r="D269" s="2" t="s">
        <v>749</v>
      </c>
      <c r="E269" s="2">
        <v>17</v>
      </c>
      <c r="F269" s="2" t="str" cm="1">
        <f t="array" ref="F269">_xlfn.IFS(Table1[[#This Row],[Age]]&lt;=16,"15-16",Table1[[#This Row],[Age]]&lt;19,"17-18")</f>
        <v>17-18</v>
      </c>
      <c r="G269" s="2" t="s">
        <v>757</v>
      </c>
      <c r="H269" s="3">
        <v>0.499</v>
      </c>
      <c r="I269" s="3">
        <v>0.70400000000000007</v>
      </c>
      <c r="J269" s="3" t="str" cm="1">
        <f t="array" ref="J269">_xlfn.IFS(Table1[[#This Row],[Overall Attendance]]&gt;=0.6,"Good",Table1[[#This Row],[Overall Attendance]]&lt;0.6,"Bad")</f>
        <v>Good</v>
      </c>
      <c r="K269" s="4">
        <v>398949</v>
      </c>
      <c r="L269" s="4">
        <f t="shared" si="8"/>
        <v>4787388</v>
      </c>
      <c r="M269" s="4" t="str" cm="1">
        <f t="array" ref="M26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69" s="2">
        <v>10.3</v>
      </c>
      <c r="O269" s="2" t="str" cm="1">
        <f t="array" ref="O269">_xlfn.IFS(Table1[[#This Row],[Distance to School (km)]]&gt;=5,"Far",Table1[[#This Row],[Distance to School (km)]]&lt;5,"Near")</f>
        <v>Far</v>
      </c>
      <c r="P269" s="5">
        <f t="shared" si="9"/>
        <v>0.39849999999999997</v>
      </c>
    </row>
    <row r="270" spans="1:16" ht="15" x14ac:dyDescent="0.25">
      <c r="A270" s="2" t="s">
        <v>275</v>
      </c>
      <c r="B270" s="2" t="s">
        <v>652</v>
      </c>
      <c r="C270" s="2" t="s">
        <v>699</v>
      </c>
      <c r="D270" s="2" t="s">
        <v>736</v>
      </c>
      <c r="E270" s="2">
        <v>18</v>
      </c>
      <c r="F270" s="2" t="str" cm="1">
        <f t="array" ref="F270">_xlfn.IFS(Table1[[#This Row],[Age]]&lt;=16,"15-16",Table1[[#This Row],[Age]]&lt;19,"17-18")</f>
        <v>17-18</v>
      </c>
      <c r="G270" s="2" t="s">
        <v>757</v>
      </c>
      <c r="H270" s="3">
        <v>0.35200000000000004</v>
      </c>
      <c r="I270" s="3">
        <v>0.94299999999999995</v>
      </c>
      <c r="J270" s="3" t="str" cm="1">
        <f t="array" ref="J270">_xlfn.IFS(Table1[[#This Row],[Overall Attendance]]&gt;=0.6,"Good",Table1[[#This Row],[Overall Attendance]]&lt;0.6,"Bad")</f>
        <v>Good</v>
      </c>
      <c r="K270" s="4">
        <v>24665</v>
      </c>
      <c r="L270" s="4">
        <f t="shared" si="8"/>
        <v>295980</v>
      </c>
      <c r="M270" s="4" t="str" cm="1">
        <f t="array" ref="M27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70" s="2">
        <v>11.1</v>
      </c>
      <c r="O270" s="2" t="str" cm="1">
        <f t="array" ref="O270">_xlfn.IFS(Table1[[#This Row],[Distance to School (km)]]&gt;=5,"Far",Table1[[#This Row],[Distance to School (km)]]&lt;5,"Near")</f>
        <v>Far</v>
      </c>
      <c r="P270" s="5">
        <f t="shared" si="9"/>
        <v>0.35250000000000004</v>
      </c>
    </row>
    <row r="271" spans="1:16" ht="15" hidden="1" x14ac:dyDescent="0.25">
      <c r="A271" s="2" t="s">
        <v>276</v>
      </c>
      <c r="B271" s="2" t="s">
        <v>670</v>
      </c>
      <c r="C271" s="2" t="s">
        <v>697</v>
      </c>
      <c r="D271" s="2" t="s">
        <v>747</v>
      </c>
      <c r="E271" s="2">
        <v>16</v>
      </c>
      <c r="F271" s="2" t="str" cm="1">
        <f t="array" ref="F271">_xlfn.IFS(Table1[[#This Row],[Age]]&lt;=16,"15-16",Table1[[#This Row],[Age]]&lt;19,"17-18")</f>
        <v>15-16</v>
      </c>
      <c r="G271" s="2" t="s">
        <v>758</v>
      </c>
      <c r="H271" s="3">
        <v>0.67299999999999993</v>
      </c>
      <c r="I271" s="3">
        <v>0.85</v>
      </c>
      <c r="J271" s="3" t="str" cm="1">
        <f t="array" ref="J271">_xlfn.IFS(Table1[[#This Row],[Overall Attendance]]&gt;=0.6,"Good",Table1[[#This Row],[Overall Attendance]]&lt;0.6,"Bad")</f>
        <v>Good</v>
      </c>
      <c r="K271" s="4">
        <v>46868</v>
      </c>
      <c r="L271" s="4">
        <f t="shared" si="8"/>
        <v>562416</v>
      </c>
      <c r="M271" s="4" t="str" cm="1">
        <f t="array" ref="M27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71" s="2">
        <v>5.5</v>
      </c>
      <c r="O271" s="2" t="str" cm="1">
        <f t="array" ref="O271">_xlfn.IFS(Table1[[#This Row],[Distance to School (km)]]&gt;=5,"Far",Table1[[#This Row],[Distance to School (km)]]&lt;5,"Near")</f>
        <v>Far</v>
      </c>
      <c r="P271" s="5">
        <f t="shared" si="9"/>
        <v>0.23850000000000005</v>
      </c>
    </row>
    <row r="272" spans="1:16" ht="15" hidden="1" x14ac:dyDescent="0.25">
      <c r="A272" s="2" t="s">
        <v>277</v>
      </c>
      <c r="B272" s="2" t="s">
        <v>665</v>
      </c>
      <c r="C272" s="2" t="s">
        <v>710</v>
      </c>
      <c r="D272" s="2" t="s">
        <v>754</v>
      </c>
      <c r="E272" s="2">
        <v>15</v>
      </c>
      <c r="F272" s="2" t="str" cm="1">
        <f t="array" ref="F272">_xlfn.IFS(Table1[[#This Row],[Age]]&lt;=16,"15-16",Table1[[#This Row],[Age]]&lt;19,"17-18")</f>
        <v>15-16</v>
      </c>
      <c r="G272" s="2" t="s">
        <v>757</v>
      </c>
      <c r="H272" s="3">
        <v>0.72699999999999998</v>
      </c>
      <c r="I272" s="3">
        <v>0.77500000000000002</v>
      </c>
      <c r="J272" s="3" t="str" cm="1">
        <f t="array" ref="J272">_xlfn.IFS(Table1[[#This Row],[Overall Attendance]]&gt;=0.6,"Good",Table1[[#This Row],[Overall Attendance]]&lt;0.6,"Bad")</f>
        <v>Good</v>
      </c>
      <c r="K272" s="4">
        <v>283377</v>
      </c>
      <c r="L272" s="4">
        <f t="shared" si="8"/>
        <v>3400524</v>
      </c>
      <c r="M272" s="4" t="str" cm="1">
        <f t="array" ref="M27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72" s="2">
        <v>3.6</v>
      </c>
      <c r="O272" s="2" t="str" cm="1">
        <f t="array" ref="O272">_xlfn.IFS(Table1[[#This Row],[Distance to School (km)]]&gt;=5,"Far",Table1[[#This Row],[Distance to School (km)]]&lt;5,"Near")</f>
        <v>Near</v>
      </c>
      <c r="P272" s="5">
        <f t="shared" si="9"/>
        <v>0.249</v>
      </c>
    </row>
    <row r="273" spans="1:16" ht="15" hidden="1" x14ac:dyDescent="0.25">
      <c r="A273" s="2" t="s">
        <v>278</v>
      </c>
      <c r="B273" s="2" t="s">
        <v>657</v>
      </c>
      <c r="C273" s="2" t="s">
        <v>695</v>
      </c>
      <c r="D273" s="2" t="s">
        <v>743</v>
      </c>
      <c r="E273" s="2">
        <v>16</v>
      </c>
      <c r="F273" s="2" t="str" cm="1">
        <f t="array" ref="F273">_xlfn.IFS(Table1[[#This Row],[Age]]&lt;=16,"15-16",Table1[[#This Row],[Age]]&lt;19,"17-18")</f>
        <v>15-16</v>
      </c>
      <c r="G273" s="2" t="s">
        <v>757</v>
      </c>
      <c r="H273" s="3">
        <v>0.66</v>
      </c>
      <c r="I273" s="3">
        <v>0.87</v>
      </c>
      <c r="J273" s="3" t="str" cm="1">
        <f t="array" ref="J273">_xlfn.IFS(Table1[[#This Row],[Overall Attendance]]&gt;=0.6,"Good",Table1[[#This Row],[Overall Attendance]]&lt;0.6,"Bad")</f>
        <v>Good</v>
      </c>
      <c r="K273" s="4">
        <v>153283</v>
      </c>
      <c r="L273" s="4">
        <f t="shared" si="8"/>
        <v>1839396</v>
      </c>
      <c r="M273" s="4" t="str" cm="1">
        <f t="array" ref="M27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73" s="2">
        <v>11.6</v>
      </c>
      <c r="O273" s="2" t="str" cm="1">
        <f t="array" ref="O273">_xlfn.IFS(Table1[[#This Row],[Distance to School (km)]]&gt;=5,"Far",Table1[[#This Row],[Distance to School (km)]]&lt;5,"Near")</f>
        <v>Far</v>
      </c>
      <c r="P273" s="5">
        <f t="shared" si="9"/>
        <v>0.23499999999999999</v>
      </c>
    </row>
    <row r="274" spans="1:16" ht="15" x14ac:dyDescent="0.25">
      <c r="A274" s="2" t="s">
        <v>279</v>
      </c>
      <c r="B274" s="2" t="s">
        <v>664</v>
      </c>
      <c r="C274" s="2" t="s">
        <v>705</v>
      </c>
      <c r="D274" s="2" t="s">
        <v>741</v>
      </c>
      <c r="E274" s="2">
        <v>17</v>
      </c>
      <c r="F274" s="2" t="str" cm="1">
        <f t="array" ref="F274">_xlfn.IFS(Table1[[#This Row],[Age]]&lt;=16,"15-16",Table1[[#This Row],[Age]]&lt;19,"17-18")</f>
        <v>17-18</v>
      </c>
      <c r="G274" s="2" t="s">
        <v>758</v>
      </c>
      <c r="H274" s="3">
        <v>0.3</v>
      </c>
      <c r="I274" s="3">
        <v>0.25</v>
      </c>
      <c r="J274" s="3" t="str" cm="1">
        <f t="array" ref="J274">_xlfn.IFS(Table1[[#This Row],[Overall Attendance]]&gt;=0.6,"Good",Table1[[#This Row],[Overall Attendance]]&lt;0.6,"Bad")</f>
        <v>Bad</v>
      </c>
      <c r="K274" s="4">
        <v>46463</v>
      </c>
      <c r="L274" s="4">
        <f t="shared" si="8"/>
        <v>557556</v>
      </c>
      <c r="M274" s="4" t="str" cm="1">
        <f t="array" ref="M27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74" s="2">
        <v>3</v>
      </c>
      <c r="O274" s="2" t="str" cm="1">
        <f t="array" ref="O274">_xlfn.IFS(Table1[[#This Row],[Distance to School (km)]]&gt;=5,"Far",Table1[[#This Row],[Distance to School (km)]]&lt;5,"Near")</f>
        <v>Near</v>
      </c>
      <c r="P274" s="5">
        <f t="shared" si="9"/>
        <v>0.72499999999999998</v>
      </c>
    </row>
    <row r="275" spans="1:16" ht="15" hidden="1" x14ac:dyDescent="0.25">
      <c r="A275" s="2" t="s">
        <v>280</v>
      </c>
      <c r="B275" s="2" t="s">
        <v>668</v>
      </c>
      <c r="C275" s="2" t="s">
        <v>703</v>
      </c>
      <c r="D275" s="2" t="s">
        <v>749</v>
      </c>
      <c r="E275" s="2">
        <v>16</v>
      </c>
      <c r="F275" s="2" t="str" cm="1">
        <f t="array" ref="F275">_xlfn.IFS(Table1[[#This Row],[Age]]&lt;=16,"15-16",Table1[[#This Row],[Age]]&lt;19,"17-18")</f>
        <v>15-16</v>
      </c>
      <c r="G275" s="2" t="s">
        <v>757</v>
      </c>
      <c r="H275" s="3">
        <v>0.59</v>
      </c>
      <c r="I275" s="3">
        <v>0.83900000000000008</v>
      </c>
      <c r="J275" s="3" t="str" cm="1">
        <f t="array" ref="J275">_xlfn.IFS(Table1[[#This Row],[Overall Attendance]]&gt;=0.6,"Good",Table1[[#This Row],[Overall Attendance]]&lt;0.6,"Bad")</f>
        <v>Good</v>
      </c>
      <c r="K275" s="4">
        <v>208148</v>
      </c>
      <c r="L275" s="4">
        <f t="shared" si="8"/>
        <v>2497776</v>
      </c>
      <c r="M275" s="4" t="str" cm="1">
        <f t="array" ref="M27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75" s="2">
        <v>10.3</v>
      </c>
      <c r="O275" s="2" t="str" cm="1">
        <f t="array" ref="O275">_xlfn.IFS(Table1[[#This Row],[Distance to School (km)]]&gt;=5,"Far",Table1[[#This Row],[Distance to School (km)]]&lt;5,"Near")</f>
        <v>Far</v>
      </c>
      <c r="P275" s="5">
        <f t="shared" si="9"/>
        <v>0.28549999999999998</v>
      </c>
    </row>
    <row r="276" spans="1:16" ht="15" hidden="1" x14ac:dyDescent="0.25">
      <c r="A276" s="2" t="s">
        <v>281</v>
      </c>
      <c r="B276" s="2" t="s">
        <v>680</v>
      </c>
      <c r="C276" s="2" t="s">
        <v>690</v>
      </c>
      <c r="D276" s="2" t="s">
        <v>751</v>
      </c>
      <c r="E276" s="2">
        <v>15</v>
      </c>
      <c r="F276" s="2" t="str" cm="1">
        <f t="array" ref="F276">_xlfn.IFS(Table1[[#This Row],[Age]]&lt;=16,"15-16",Table1[[#This Row],[Age]]&lt;19,"17-18")</f>
        <v>15-16</v>
      </c>
      <c r="G276" s="2" t="s">
        <v>757</v>
      </c>
      <c r="H276" s="3">
        <v>0.65099999999999991</v>
      </c>
      <c r="I276" s="3">
        <v>0.84499999999999997</v>
      </c>
      <c r="J276" s="3" t="str" cm="1">
        <f t="array" ref="J276">_xlfn.IFS(Table1[[#This Row],[Overall Attendance]]&gt;=0.6,"Good",Table1[[#This Row],[Overall Attendance]]&lt;0.6,"Bad")</f>
        <v>Good</v>
      </c>
      <c r="K276" s="4">
        <v>251940</v>
      </c>
      <c r="L276" s="4">
        <f t="shared" si="8"/>
        <v>3023280</v>
      </c>
      <c r="M276" s="4" t="str" cm="1">
        <f t="array" ref="M27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76" s="2">
        <v>4.8</v>
      </c>
      <c r="O276" s="2" t="str" cm="1">
        <f t="array" ref="O276">_xlfn.IFS(Table1[[#This Row],[Distance to School (km)]]&gt;=5,"Far",Table1[[#This Row],[Distance to School (km)]]&lt;5,"Near")</f>
        <v>Near</v>
      </c>
      <c r="P276" s="5">
        <f t="shared" si="9"/>
        <v>0.252</v>
      </c>
    </row>
    <row r="277" spans="1:16" ht="15" x14ac:dyDescent="0.25">
      <c r="A277" s="2" t="s">
        <v>282</v>
      </c>
      <c r="B277" s="2" t="s">
        <v>679</v>
      </c>
      <c r="C277" s="2" t="s">
        <v>711</v>
      </c>
      <c r="D277" s="2" t="s">
        <v>746</v>
      </c>
      <c r="E277" s="2">
        <v>18</v>
      </c>
      <c r="F277" s="2" t="str" cm="1">
        <f t="array" ref="F277">_xlfn.IFS(Table1[[#This Row],[Age]]&lt;=16,"15-16",Table1[[#This Row],[Age]]&lt;19,"17-18")</f>
        <v>17-18</v>
      </c>
      <c r="G277" s="2" t="s">
        <v>758</v>
      </c>
      <c r="H277" s="3">
        <v>0.7</v>
      </c>
      <c r="I277" s="3">
        <v>0.81900000000000006</v>
      </c>
      <c r="J277" s="3" t="str" cm="1">
        <f t="array" ref="J277">_xlfn.IFS(Table1[[#This Row],[Overall Attendance]]&gt;=0.6,"Good",Table1[[#This Row],[Overall Attendance]]&lt;0.6,"Bad")</f>
        <v>Good</v>
      </c>
      <c r="K277" s="4">
        <v>116881</v>
      </c>
      <c r="L277" s="4">
        <f t="shared" si="8"/>
        <v>1402572</v>
      </c>
      <c r="M277" s="4" t="str" cm="1">
        <f t="array" ref="M27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77" s="2">
        <v>1.9</v>
      </c>
      <c r="O277" s="2" t="str" cm="1">
        <f t="array" ref="O277">_xlfn.IFS(Table1[[#This Row],[Distance to School (km)]]&gt;=5,"Far",Table1[[#This Row],[Distance to School (km)]]&lt;5,"Near")</f>
        <v>Near</v>
      </c>
      <c r="P277" s="5">
        <f t="shared" si="9"/>
        <v>0.24049999999999994</v>
      </c>
    </row>
    <row r="278" spans="1:16" ht="15" hidden="1" x14ac:dyDescent="0.25">
      <c r="A278" s="2" t="s">
        <v>283</v>
      </c>
      <c r="B278" s="2" t="s">
        <v>675</v>
      </c>
      <c r="C278" s="2" t="s">
        <v>701</v>
      </c>
      <c r="D278" s="2" t="s">
        <v>750</v>
      </c>
      <c r="E278" s="2">
        <v>16</v>
      </c>
      <c r="F278" s="2" t="str" cm="1">
        <f t="array" ref="F278">_xlfn.IFS(Table1[[#This Row],[Age]]&lt;=16,"15-16",Table1[[#This Row],[Age]]&lt;19,"17-18")</f>
        <v>15-16</v>
      </c>
      <c r="G278" s="2" t="s">
        <v>757</v>
      </c>
      <c r="H278" s="3">
        <v>0.67200000000000004</v>
      </c>
      <c r="I278" s="3">
        <v>0.73</v>
      </c>
      <c r="J278" s="3" t="str" cm="1">
        <f t="array" ref="J278">_xlfn.IFS(Table1[[#This Row],[Overall Attendance]]&gt;=0.6,"Good",Table1[[#This Row],[Overall Attendance]]&lt;0.6,"Bad")</f>
        <v>Good</v>
      </c>
      <c r="K278" s="4">
        <v>75083</v>
      </c>
      <c r="L278" s="4">
        <f t="shared" si="8"/>
        <v>900996</v>
      </c>
      <c r="M278" s="4" t="str" cm="1">
        <f t="array" ref="M27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78" s="2">
        <v>4.5999999999999996</v>
      </c>
      <c r="O278" s="2" t="str" cm="1">
        <f t="array" ref="O278">_xlfn.IFS(Table1[[#This Row],[Distance to School (km)]]&gt;=5,"Far",Table1[[#This Row],[Distance to School (km)]]&lt;5,"Near")</f>
        <v>Near</v>
      </c>
      <c r="P278" s="5">
        <f t="shared" si="9"/>
        <v>0.29899999999999993</v>
      </c>
    </row>
    <row r="279" spans="1:16" ht="15" x14ac:dyDescent="0.25">
      <c r="A279" s="2" t="s">
        <v>284</v>
      </c>
      <c r="B279" s="2" t="s">
        <v>674</v>
      </c>
      <c r="C279" s="2" t="s">
        <v>704</v>
      </c>
      <c r="D279" s="2" t="s">
        <v>751</v>
      </c>
      <c r="E279" s="2">
        <v>18</v>
      </c>
      <c r="F279" s="2" t="str" cm="1">
        <f t="array" ref="F279">_xlfn.IFS(Table1[[#This Row],[Age]]&lt;=16,"15-16",Table1[[#This Row],[Age]]&lt;19,"17-18")</f>
        <v>17-18</v>
      </c>
      <c r="G279" s="2" t="s">
        <v>758</v>
      </c>
      <c r="H279" s="3">
        <v>0.78299999999999992</v>
      </c>
      <c r="I279" s="3">
        <v>0.85</v>
      </c>
      <c r="J279" s="3" t="str" cm="1">
        <f t="array" ref="J279">_xlfn.IFS(Table1[[#This Row],[Overall Attendance]]&gt;=0.6,"Good",Table1[[#This Row],[Overall Attendance]]&lt;0.6,"Bad")</f>
        <v>Good</v>
      </c>
      <c r="K279" s="4">
        <v>330782</v>
      </c>
      <c r="L279" s="4">
        <f t="shared" si="8"/>
        <v>3969384</v>
      </c>
      <c r="M279" s="4" t="str" cm="1">
        <f t="array" ref="M27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79" s="2">
        <v>10.7</v>
      </c>
      <c r="O279" s="2" t="str" cm="1">
        <f t="array" ref="O279">_xlfn.IFS(Table1[[#This Row],[Distance to School (km)]]&gt;=5,"Far",Table1[[#This Row],[Distance to School (km)]]&lt;5,"Near")</f>
        <v>Far</v>
      </c>
      <c r="P279" s="5">
        <f t="shared" si="9"/>
        <v>0.1835</v>
      </c>
    </row>
    <row r="280" spans="1:16" ht="15" x14ac:dyDescent="0.25">
      <c r="A280" s="2" t="s">
        <v>285</v>
      </c>
      <c r="B280" s="2" t="s">
        <v>641</v>
      </c>
      <c r="C280" s="2" t="s">
        <v>703</v>
      </c>
      <c r="D280" s="2" t="s">
        <v>755</v>
      </c>
      <c r="E280" s="2">
        <v>17</v>
      </c>
      <c r="F280" s="2" t="str" cm="1">
        <f t="array" ref="F280">_xlfn.IFS(Table1[[#This Row],[Age]]&lt;=16,"15-16",Table1[[#This Row],[Age]]&lt;19,"17-18")</f>
        <v>17-18</v>
      </c>
      <c r="G280" s="2" t="s">
        <v>757</v>
      </c>
      <c r="H280" s="3">
        <v>0.67200000000000004</v>
      </c>
      <c r="I280" s="3">
        <v>0.871</v>
      </c>
      <c r="J280" s="3" t="str" cm="1">
        <f t="array" ref="J280">_xlfn.IFS(Table1[[#This Row],[Overall Attendance]]&gt;=0.6,"Good",Table1[[#This Row],[Overall Attendance]]&lt;0.6,"Bad")</f>
        <v>Good</v>
      </c>
      <c r="K280" s="4">
        <v>48988</v>
      </c>
      <c r="L280" s="4">
        <f t="shared" si="8"/>
        <v>587856</v>
      </c>
      <c r="M280" s="4" t="str" cm="1">
        <f t="array" ref="M28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80" s="2">
        <v>11.9</v>
      </c>
      <c r="O280" s="2" t="str" cm="1">
        <f t="array" ref="O280">_xlfn.IFS(Table1[[#This Row],[Distance to School (km)]]&gt;=5,"Far",Table1[[#This Row],[Distance to School (km)]]&lt;5,"Near")</f>
        <v>Far</v>
      </c>
      <c r="P280" s="5">
        <f t="shared" si="9"/>
        <v>0.22849999999999993</v>
      </c>
    </row>
    <row r="281" spans="1:16" ht="15" hidden="1" x14ac:dyDescent="0.25">
      <c r="A281" s="2" t="s">
        <v>286</v>
      </c>
      <c r="B281" s="2" t="s">
        <v>672</v>
      </c>
      <c r="C281" s="2" t="s">
        <v>694</v>
      </c>
      <c r="D281" s="2" t="s">
        <v>749</v>
      </c>
      <c r="E281" s="2">
        <v>15</v>
      </c>
      <c r="F281" s="2" t="str" cm="1">
        <f t="array" ref="F281">_xlfn.IFS(Table1[[#This Row],[Age]]&lt;=16,"15-16",Table1[[#This Row],[Age]]&lt;19,"17-18")</f>
        <v>15-16</v>
      </c>
      <c r="G281" s="2" t="s">
        <v>758</v>
      </c>
      <c r="H281" s="3">
        <v>0.74099999999999999</v>
      </c>
      <c r="I281" s="3">
        <v>0.75800000000000001</v>
      </c>
      <c r="J281" s="3" t="str" cm="1">
        <f t="array" ref="J281">_xlfn.IFS(Table1[[#This Row],[Overall Attendance]]&gt;=0.6,"Good",Table1[[#This Row],[Overall Attendance]]&lt;0.6,"Bad")</f>
        <v>Good</v>
      </c>
      <c r="K281" s="4">
        <v>123569</v>
      </c>
      <c r="L281" s="4">
        <f t="shared" si="8"/>
        <v>1482828</v>
      </c>
      <c r="M281" s="4" t="str" cm="1">
        <f t="array" ref="M28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81" s="2">
        <v>7.4</v>
      </c>
      <c r="O281" s="2" t="str" cm="1">
        <f t="array" ref="O281">_xlfn.IFS(Table1[[#This Row],[Distance to School (km)]]&gt;=5,"Far",Table1[[#This Row],[Distance to School (km)]]&lt;5,"Near")</f>
        <v>Far</v>
      </c>
      <c r="P281" s="5">
        <f t="shared" si="9"/>
        <v>0.25049999999999994</v>
      </c>
    </row>
    <row r="282" spans="1:16" ht="15" hidden="1" x14ac:dyDescent="0.25">
      <c r="A282" s="2" t="s">
        <v>287</v>
      </c>
      <c r="B282" s="2" t="s">
        <v>681</v>
      </c>
      <c r="C282" s="2" t="s">
        <v>709</v>
      </c>
      <c r="D282" s="2" t="s">
        <v>756</v>
      </c>
      <c r="E282" s="2">
        <v>15</v>
      </c>
      <c r="F282" s="2" t="str" cm="1">
        <f t="array" ref="F282">_xlfn.IFS(Table1[[#This Row],[Age]]&lt;=16,"15-16",Table1[[#This Row],[Age]]&lt;19,"17-18")</f>
        <v>15-16</v>
      </c>
      <c r="G282" s="2" t="s">
        <v>758</v>
      </c>
      <c r="H282" s="3">
        <v>0.52100000000000002</v>
      </c>
      <c r="I282" s="3">
        <v>0.92299999999999993</v>
      </c>
      <c r="J282" s="3" t="str" cm="1">
        <f t="array" ref="J282">_xlfn.IFS(Table1[[#This Row],[Overall Attendance]]&gt;=0.6,"Good",Table1[[#This Row],[Overall Attendance]]&lt;0.6,"Bad")</f>
        <v>Good</v>
      </c>
      <c r="K282" s="4">
        <v>60462</v>
      </c>
      <c r="L282" s="4">
        <f t="shared" si="8"/>
        <v>725544</v>
      </c>
      <c r="M282" s="4" t="str" cm="1">
        <f t="array" ref="M28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82" s="2">
        <v>3.6</v>
      </c>
      <c r="O282" s="2" t="str" cm="1">
        <f t="array" ref="O282">_xlfn.IFS(Table1[[#This Row],[Distance to School (km)]]&gt;=5,"Far",Table1[[#This Row],[Distance to School (km)]]&lt;5,"Near")</f>
        <v>Near</v>
      </c>
      <c r="P282" s="5">
        <f t="shared" si="9"/>
        <v>0.27800000000000002</v>
      </c>
    </row>
    <row r="283" spans="1:16" ht="15" x14ac:dyDescent="0.25">
      <c r="A283" s="2" t="s">
        <v>288</v>
      </c>
      <c r="B283" s="2" t="s">
        <v>647</v>
      </c>
      <c r="C283" s="2" t="s">
        <v>676</v>
      </c>
      <c r="D283" s="2" t="s">
        <v>749</v>
      </c>
      <c r="E283" s="2">
        <v>17</v>
      </c>
      <c r="F283" s="2" t="str" cm="1">
        <f t="array" ref="F283">_xlfn.IFS(Table1[[#This Row],[Age]]&lt;=16,"15-16",Table1[[#This Row],[Age]]&lt;19,"17-18")</f>
        <v>17-18</v>
      </c>
      <c r="G283" s="2" t="s">
        <v>757</v>
      </c>
      <c r="H283" s="3">
        <v>0.92</v>
      </c>
      <c r="I283" s="3">
        <v>0.69799999999999995</v>
      </c>
      <c r="J283" s="3" t="str" cm="1">
        <f t="array" ref="J283">_xlfn.IFS(Table1[[#This Row],[Overall Attendance]]&gt;=0.6,"Good",Table1[[#This Row],[Overall Attendance]]&lt;0.6,"Bad")</f>
        <v>Good</v>
      </c>
      <c r="K283" s="4">
        <v>131006</v>
      </c>
      <c r="L283" s="4">
        <f t="shared" si="8"/>
        <v>1572072</v>
      </c>
      <c r="M283" s="4" t="str" cm="1">
        <f t="array" ref="M28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83" s="2">
        <v>9.8000000000000007</v>
      </c>
      <c r="O283" s="2" t="str" cm="1">
        <f t="array" ref="O283">_xlfn.IFS(Table1[[#This Row],[Distance to School (km)]]&gt;=5,"Far",Table1[[#This Row],[Distance to School (km)]]&lt;5,"Near")</f>
        <v>Far</v>
      </c>
      <c r="P283" s="5">
        <f t="shared" si="9"/>
        <v>0.19100000000000006</v>
      </c>
    </row>
    <row r="284" spans="1:16" ht="15" hidden="1" x14ac:dyDescent="0.25">
      <c r="A284" s="2" t="s">
        <v>289</v>
      </c>
      <c r="B284" s="2" t="s">
        <v>646</v>
      </c>
      <c r="C284" s="2" t="s">
        <v>656</v>
      </c>
      <c r="D284" s="2" t="s">
        <v>747</v>
      </c>
      <c r="E284" s="2">
        <v>15</v>
      </c>
      <c r="F284" s="2" t="str" cm="1">
        <f t="array" ref="F284">_xlfn.IFS(Table1[[#This Row],[Age]]&lt;=16,"15-16",Table1[[#This Row],[Age]]&lt;19,"17-18")</f>
        <v>15-16</v>
      </c>
      <c r="G284" s="2" t="s">
        <v>757</v>
      </c>
      <c r="H284" s="3">
        <v>0.47799999999999998</v>
      </c>
      <c r="I284" s="3">
        <v>0.77</v>
      </c>
      <c r="J284" s="3" t="str" cm="1">
        <f t="array" ref="J284">_xlfn.IFS(Table1[[#This Row],[Overall Attendance]]&gt;=0.6,"Good",Table1[[#This Row],[Overall Attendance]]&lt;0.6,"Bad")</f>
        <v>Good</v>
      </c>
      <c r="K284" s="4">
        <v>82259</v>
      </c>
      <c r="L284" s="4">
        <f t="shared" si="8"/>
        <v>987108</v>
      </c>
      <c r="M284" s="4" t="str" cm="1">
        <f t="array" ref="M28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84" s="2">
        <v>6.1</v>
      </c>
      <c r="O284" s="2" t="str" cm="1">
        <f t="array" ref="O284">_xlfn.IFS(Table1[[#This Row],[Distance to School (km)]]&gt;=5,"Far",Table1[[#This Row],[Distance to School (km)]]&lt;5,"Near")</f>
        <v>Far</v>
      </c>
      <c r="P284" s="5">
        <f t="shared" si="9"/>
        <v>0.376</v>
      </c>
    </row>
    <row r="285" spans="1:16" ht="15" x14ac:dyDescent="0.25">
      <c r="A285" s="2" t="s">
        <v>290</v>
      </c>
      <c r="B285" s="2" t="s">
        <v>658</v>
      </c>
      <c r="C285" s="2" t="s">
        <v>686</v>
      </c>
      <c r="D285" s="2" t="s">
        <v>736</v>
      </c>
      <c r="E285" s="2">
        <v>17</v>
      </c>
      <c r="F285" s="2" t="str" cm="1">
        <f t="array" ref="F285">_xlfn.IFS(Table1[[#This Row],[Age]]&lt;=16,"15-16",Table1[[#This Row],[Age]]&lt;19,"17-18")</f>
        <v>17-18</v>
      </c>
      <c r="G285" s="2" t="s">
        <v>757</v>
      </c>
      <c r="H285" s="3">
        <v>0.75599999999999989</v>
      </c>
      <c r="I285" s="3">
        <v>0.83400000000000007</v>
      </c>
      <c r="J285" s="3" t="str" cm="1">
        <f t="array" ref="J285">_xlfn.IFS(Table1[[#This Row],[Overall Attendance]]&gt;=0.6,"Good",Table1[[#This Row],[Overall Attendance]]&lt;0.6,"Bad")</f>
        <v>Good</v>
      </c>
      <c r="K285" s="4">
        <v>126407</v>
      </c>
      <c r="L285" s="4">
        <f t="shared" si="8"/>
        <v>1516884</v>
      </c>
      <c r="M285" s="4" t="str" cm="1">
        <f t="array" ref="M28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85" s="2">
        <v>8.6999999999999993</v>
      </c>
      <c r="O285" s="2" t="str" cm="1">
        <f t="array" ref="O285">_xlfn.IFS(Table1[[#This Row],[Distance to School (km)]]&gt;=5,"Far",Table1[[#This Row],[Distance to School (km)]]&lt;5,"Near")</f>
        <v>Far</v>
      </c>
      <c r="P285" s="5">
        <f t="shared" si="9"/>
        <v>0.20500000000000007</v>
      </c>
    </row>
    <row r="286" spans="1:16" ht="15" x14ac:dyDescent="0.25">
      <c r="A286" s="2" t="s">
        <v>291</v>
      </c>
      <c r="B286" s="2" t="s">
        <v>662</v>
      </c>
      <c r="C286" s="2" t="s">
        <v>685</v>
      </c>
      <c r="D286" s="2" t="s">
        <v>747</v>
      </c>
      <c r="E286" s="2">
        <v>18</v>
      </c>
      <c r="F286" s="2" t="str" cm="1">
        <f t="array" ref="F286">_xlfn.IFS(Table1[[#This Row],[Age]]&lt;=16,"15-16",Table1[[#This Row],[Age]]&lt;19,"17-18")</f>
        <v>17-18</v>
      </c>
      <c r="G286" s="2" t="s">
        <v>757</v>
      </c>
      <c r="H286" s="3">
        <v>0.60099999999999998</v>
      </c>
      <c r="I286" s="3">
        <v>0.76700000000000002</v>
      </c>
      <c r="J286" s="3" t="str" cm="1">
        <f t="array" ref="J286">_xlfn.IFS(Table1[[#This Row],[Overall Attendance]]&gt;=0.6,"Good",Table1[[#This Row],[Overall Attendance]]&lt;0.6,"Bad")</f>
        <v>Good</v>
      </c>
      <c r="K286" s="4">
        <v>147827</v>
      </c>
      <c r="L286" s="4">
        <f t="shared" si="8"/>
        <v>1773924</v>
      </c>
      <c r="M286" s="4" t="str" cm="1">
        <f t="array" ref="M28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86" s="2">
        <v>8.6</v>
      </c>
      <c r="O286" s="2" t="str" cm="1">
        <f t="array" ref="O286">_xlfn.IFS(Table1[[#This Row],[Distance to School (km)]]&gt;=5,"Far",Table1[[#This Row],[Distance to School (km)]]&lt;5,"Near")</f>
        <v>Far</v>
      </c>
      <c r="P286" s="5">
        <f t="shared" si="9"/>
        <v>0.31600000000000006</v>
      </c>
    </row>
    <row r="287" spans="1:16" ht="15" x14ac:dyDescent="0.25">
      <c r="A287" s="2" t="s">
        <v>292</v>
      </c>
      <c r="B287" s="2" t="s">
        <v>676</v>
      </c>
      <c r="C287" s="2" t="s">
        <v>735</v>
      </c>
      <c r="D287" s="2" t="s">
        <v>754</v>
      </c>
      <c r="E287" s="2">
        <v>17</v>
      </c>
      <c r="F287" s="2" t="str" cm="1">
        <f t="array" ref="F287">_xlfn.IFS(Table1[[#This Row],[Age]]&lt;=16,"15-16",Table1[[#This Row],[Age]]&lt;19,"17-18")</f>
        <v>17-18</v>
      </c>
      <c r="G287" s="2" t="s">
        <v>757</v>
      </c>
      <c r="H287" s="3">
        <v>0.66599999999999993</v>
      </c>
      <c r="I287" s="3">
        <v>0.8640000000000001</v>
      </c>
      <c r="J287" s="3" t="str" cm="1">
        <f t="array" ref="J287">_xlfn.IFS(Table1[[#This Row],[Overall Attendance]]&gt;=0.6,"Good",Table1[[#This Row],[Overall Attendance]]&lt;0.6,"Bad")</f>
        <v>Good</v>
      </c>
      <c r="K287" s="4">
        <v>163859</v>
      </c>
      <c r="L287" s="4">
        <f t="shared" si="8"/>
        <v>1966308</v>
      </c>
      <c r="M287" s="4" t="str" cm="1">
        <f t="array" ref="M28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87" s="2">
        <v>2.5</v>
      </c>
      <c r="O287" s="2" t="str" cm="1">
        <f t="array" ref="O287">_xlfn.IFS(Table1[[#This Row],[Distance to School (km)]]&gt;=5,"Far",Table1[[#This Row],[Distance to School (km)]]&lt;5,"Near")</f>
        <v>Near</v>
      </c>
      <c r="P287" s="5">
        <f t="shared" si="9"/>
        <v>0.23499999999999999</v>
      </c>
    </row>
    <row r="288" spans="1:16" ht="15" x14ac:dyDescent="0.25">
      <c r="A288" s="2" t="s">
        <v>293</v>
      </c>
      <c r="B288" s="2" t="s">
        <v>657</v>
      </c>
      <c r="C288" s="2" t="s">
        <v>672</v>
      </c>
      <c r="D288" s="2" t="s">
        <v>752</v>
      </c>
      <c r="E288" s="2">
        <v>18</v>
      </c>
      <c r="F288" s="2" t="str" cm="1">
        <f t="array" ref="F288">_xlfn.IFS(Table1[[#This Row],[Age]]&lt;=16,"15-16",Table1[[#This Row],[Age]]&lt;19,"17-18")</f>
        <v>17-18</v>
      </c>
      <c r="G288" s="2" t="s">
        <v>757</v>
      </c>
      <c r="H288" s="3">
        <v>0.47899999999999998</v>
      </c>
      <c r="I288" s="3">
        <v>0.93299999999999994</v>
      </c>
      <c r="J288" s="3" t="str" cm="1">
        <f t="array" ref="J288">_xlfn.IFS(Table1[[#This Row],[Overall Attendance]]&gt;=0.6,"Good",Table1[[#This Row],[Overall Attendance]]&lt;0.6,"Bad")</f>
        <v>Good</v>
      </c>
      <c r="K288" s="4">
        <v>29650</v>
      </c>
      <c r="L288" s="4">
        <f t="shared" si="8"/>
        <v>355800</v>
      </c>
      <c r="M288" s="4" t="str" cm="1">
        <f t="array" ref="M28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88" s="2">
        <v>11.4</v>
      </c>
      <c r="O288" s="2" t="str" cm="1">
        <f t="array" ref="O288">_xlfn.IFS(Table1[[#This Row],[Distance to School (km)]]&gt;=5,"Far",Table1[[#This Row],[Distance to School (km)]]&lt;5,"Near")</f>
        <v>Far</v>
      </c>
      <c r="P288" s="5">
        <f t="shared" si="9"/>
        <v>0.29400000000000004</v>
      </c>
    </row>
    <row r="289" spans="1:16" ht="15" hidden="1" x14ac:dyDescent="0.25">
      <c r="A289" s="2" t="s">
        <v>294</v>
      </c>
      <c r="B289" s="2" t="s">
        <v>658</v>
      </c>
      <c r="C289" s="2" t="s">
        <v>701</v>
      </c>
      <c r="D289" s="2" t="s">
        <v>754</v>
      </c>
      <c r="E289" s="2">
        <v>15</v>
      </c>
      <c r="F289" s="2" t="str" cm="1">
        <f t="array" ref="F289">_xlfn.IFS(Table1[[#This Row],[Age]]&lt;=16,"15-16",Table1[[#This Row],[Age]]&lt;19,"17-18")</f>
        <v>15-16</v>
      </c>
      <c r="G289" s="2" t="s">
        <v>757</v>
      </c>
      <c r="H289" s="3">
        <v>0.89599999999999991</v>
      </c>
      <c r="I289" s="3">
        <v>0.69499999999999995</v>
      </c>
      <c r="J289" s="3" t="str" cm="1">
        <f t="array" ref="J289">_xlfn.IFS(Table1[[#This Row],[Overall Attendance]]&gt;=0.6,"Good",Table1[[#This Row],[Overall Attendance]]&lt;0.6,"Bad")</f>
        <v>Good</v>
      </c>
      <c r="K289" s="4">
        <v>227292</v>
      </c>
      <c r="L289" s="4">
        <f t="shared" si="8"/>
        <v>2727504</v>
      </c>
      <c r="M289" s="4" t="str" cm="1">
        <f t="array" ref="M28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89" s="2">
        <v>2.1</v>
      </c>
      <c r="O289" s="2" t="str" cm="1">
        <f t="array" ref="O289">_xlfn.IFS(Table1[[#This Row],[Distance to School (km)]]&gt;=5,"Far",Table1[[#This Row],[Distance to School (km)]]&lt;5,"Near")</f>
        <v>Near</v>
      </c>
      <c r="P289" s="5">
        <f t="shared" si="9"/>
        <v>0.20450000000000013</v>
      </c>
    </row>
    <row r="290" spans="1:16" ht="15" x14ac:dyDescent="0.25">
      <c r="A290" s="2" t="s">
        <v>295</v>
      </c>
      <c r="B290" s="2" t="s">
        <v>667</v>
      </c>
      <c r="C290" s="2" t="s">
        <v>689</v>
      </c>
      <c r="D290" s="2" t="s">
        <v>752</v>
      </c>
      <c r="E290" s="2">
        <v>17</v>
      </c>
      <c r="F290" s="2" t="str" cm="1">
        <f t="array" ref="F290">_xlfn.IFS(Table1[[#This Row],[Age]]&lt;=16,"15-16",Table1[[#This Row],[Age]]&lt;19,"17-18")</f>
        <v>17-18</v>
      </c>
      <c r="G290" s="2" t="s">
        <v>757</v>
      </c>
      <c r="H290" s="3">
        <v>0.1</v>
      </c>
      <c r="I290" s="3">
        <v>0.12</v>
      </c>
      <c r="J290" s="3" t="str" cm="1">
        <f t="array" ref="J290">_xlfn.IFS(Table1[[#This Row],[Overall Attendance]]&gt;=0.6,"Good",Table1[[#This Row],[Overall Attendance]]&lt;0.6,"Bad")</f>
        <v>Bad</v>
      </c>
      <c r="K290" s="4">
        <v>187822</v>
      </c>
      <c r="L290" s="4">
        <f t="shared" si="8"/>
        <v>2253864</v>
      </c>
      <c r="M290" s="4" t="str" cm="1">
        <f t="array" ref="M29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90" s="2">
        <v>5.6</v>
      </c>
      <c r="O290" s="2" t="str" cm="1">
        <f t="array" ref="O290">_xlfn.IFS(Table1[[#This Row],[Distance to School (km)]]&gt;=5,"Far",Table1[[#This Row],[Distance to School (km)]]&lt;5,"Near")</f>
        <v>Far</v>
      </c>
      <c r="P290" s="5">
        <f t="shared" si="9"/>
        <v>0.89</v>
      </c>
    </row>
    <row r="291" spans="1:16" ht="15" x14ac:dyDescent="0.25">
      <c r="A291" s="2" t="s">
        <v>296</v>
      </c>
      <c r="B291" s="2" t="s">
        <v>679</v>
      </c>
      <c r="C291" s="2" t="s">
        <v>686</v>
      </c>
      <c r="D291" s="2" t="s">
        <v>749</v>
      </c>
      <c r="E291" s="2">
        <v>18</v>
      </c>
      <c r="F291" s="2" t="str" cm="1">
        <f t="array" ref="F291">_xlfn.IFS(Table1[[#This Row],[Age]]&lt;=16,"15-16",Table1[[#This Row],[Age]]&lt;19,"17-18")</f>
        <v>17-18</v>
      </c>
      <c r="G291" s="2" t="s">
        <v>757</v>
      </c>
      <c r="H291" s="3">
        <v>0.61799999999999999</v>
      </c>
      <c r="I291" s="3">
        <v>0.86799999999999999</v>
      </c>
      <c r="J291" s="3" t="str" cm="1">
        <f t="array" ref="J291">_xlfn.IFS(Table1[[#This Row],[Overall Attendance]]&gt;=0.6,"Good",Table1[[#This Row],[Overall Attendance]]&lt;0.6,"Bad")</f>
        <v>Good</v>
      </c>
      <c r="K291" s="4">
        <v>314877</v>
      </c>
      <c r="L291" s="4">
        <f t="shared" si="8"/>
        <v>3778524</v>
      </c>
      <c r="M291" s="4" t="str" cm="1">
        <f t="array" ref="M29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91" s="2">
        <v>11.6</v>
      </c>
      <c r="O291" s="2" t="str" cm="1">
        <f t="array" ref="O291">_xlfn.IFS(Table1[[#This Row],[Distance to School (km)]]&gt;=5,"Far",Table1[[#This Row],[Distance to School (km)]]&lt;5,"Near")</f>
        <v>Far</v>
      </c>
      <c r="P291" s="5">
        <f t="shared" si="9"/>
        <v>0.25700000000000001</v>
      </c>
    </row>
    <row r="292" spans="1:16" ht="15" hidden="1" x14ac:dyDescent="0.25">
      <c r="A292" s="2" t="s">
        <v>297</v>
      </c>
      <c r="B292" s="2" t="s">
        <v>646</v>
      </c>
      <c r="C292" s="2" t="s">
        <v>691</v>
      </c>
      <c r="D292" s="2" t="s">
        <v>712</v>
      </c>
      <c r="E292" s="2">
        <v>15</v>
      </c>
      <c r="F292" s="2" t="str" cm="1">
        <f t="array" ref="F292">_xlfn.IFS(Table1[[#This Row],[Age]]&lt;=16,"15-16",Table1[[#This Row],[Age]]&lt;19,"17-18")</f>
        <v>15-16</v>
      </c>
      <c r="G292" s="2" t="s">
        <v>758</v>
      </c>
      <c r="H292" s="3">
        <v>0.46</v>
      </c>
      <c r="I292" s="3">
        <v>0.95299999999999996</v>
      </c>
      <c r="J292" s="3" t="str" cm="1">
        <f t="array" ref="J292">_xlfn.IFS(Table1[[#This Row],[Overall Attendance]]&gt;=0.6,"Good",Table1[[#This Row],[Overall Attendance]]&lt;0.6,"Bad")</f>
        <v>Good</v>
      </c>
      <c r="K292" s="4">
        <v>87884</v>
      </c>
      <c r="L292" s="4">
        <f t="shared" si="8"/>
        <v>1054608</v>
      </c>
      <c r="M292" s="4" t="str" cm="1">
        <f t="array" ref="M29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92" s="2">
        <v>2.4</v>
      </c>
      <c r="O292" s="2" t="str" cm="1">
        <f t="array" ref="O292">_xlfn.IFS(Table1[[#This Row],[Distance to School (km)]]&gt;=5,"Far",Table1[[#This Row],[Distance to School (km)]]&lt;5,"Near")</f>
        <v>Near</v>
      </c>
      <c r="P292" s="5">
        <f t="shared" si="9"/>
        <v>0.29349999999999998</v>
      </c>
    </row>
    <row r="293" spans="1:16" ht="15" hidden="1" x14ac:dyDescent="0.25">
      <c r="A293" s="2" t="s">
        <v>298</v>
      </c>
      <c r="B293" s="2" t="s">
        <v>671</v>
      </c>
      <c r="C293" s="2" t="s">
        <v>710</v>
      </c>
      <c r="D293" s="2" t="s">
        <v>754</v>
      </c>
      <c r="E293" s="2">
        <v>15</v>
      </c>
      <c r="F293" s="2" t="str" cm="1">
        <f t="array" ref="F293">_xlfn.IFS(Table1[[#This Row],[Age]]&lt;=16,"15-16",Table1[[#This Row],[Age]]&lt;19,"17-18")</f>
        <v>15-16</v>
      </c>
      <c r="G293" s="2" t="s">
        <v>757</v>
      </c>
      <c r="H293" s="3">
        <v>0.61599999999999999</v>
      </c>
      <c r="I293" s="3">
        <v>0.86699999999999999</v>
      </c>
      <c r="J293" s="3" t="str" cm="1">
        <f t="array" ref="J293">_xlfn.IFS(Table1[[#This Row],[Overall Attendance]]&gt;=0.6,"Good",Table1[[#This Row],[Overall Attendance]]&lt;0.6,"Bad")</f>
        <v>Good</v>
      </c>
      <c r="K293" s="4">
        <v>31200</v>
      </c>
      <c r="L293" s="4">
        <f t="shared" si="8"/>
        <v>374400</v>
      </c>
      <c r="M293" s="4" t="str" cm="1">
        <f t="array" ref="M29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93" s="2">
        <v>6.8</v>
      </c>
      <c r="O293" s="2" t="str" cm="1">
        <f t="array" ref="O293">_xlfn.IFS(Table1[[#This Row],[Distance to School (km)]]&gt;=5,"Far",Table1[[#This Row],[Distance to School (km)]]&lt;5,"Near")</f>
        <v>Far</v>
      </c>
      <c r="P293" s="5">
        <f t="shared" si="9"/>
        <v>0.25849999999999995</v>
      </c>
    </row>
    <row r="294" spans="1:16" ht="15" x14ac:dyDescent="0.25">
      <c r="A294" s="2" t="s">
        <v>299</v>
      </c>
      <c r="B294" s="2" t="s">
        <v>660</v>
      </c>
      <c r="C294" s="2" t="s">
        <v>707</v>
      </c>
      <c r="D294" s="2" t="s">
        <v>753</v>
      </c>
      <c r="E294" s="2">
        <v>17</v>
      </c>
      <c r="F294" s="2" t="str" cm="1">
        <f t="array" ref="F294">_xlfn.IFS(Table1[[#This Row],[Age]]&lt;=16,"15-16",Table1[[#This Row],[Age]]&lt;19,"17-18")</f>
        <v>17-18</v>
      </c>
      <c r="G294" s="2" t="s">
        <v>758</v>
      </c>
      <c r="H294" s="3">
        <v>0.58399999999999996</v>
      </c>
      <c r="I294" s="3">
        <v>0.71799999999999997</v>
      </c>
      <c r="J294" s="3" t="str" cm="1">
        <f t="array" ref="J294">_xlfn.IFS(Table1[[#This Row],[Overall Attendance]]&gt;=0.6,"Good",Table1[[#This Row],[Overall Attendance]]&lt;0.6,"Bad")</f>
        <v>Good</v>
      </c>
      <c r="K294" s="4">
        <v>60814</v>
      </c>
      <c r="L294" s="4">
        <f t="shared" si="8"/>
        <v>729768</v>
      </c>
      <c r="M294" s="4" t="str" cm="1">
        <f t="array" ref="M29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294" s="2">
        <v>1.1000000000000001</v>
      </c>
      <c r="O294" s="2" t="str" cm="1">
        <f t="array" ref="O294">_xlfn.IFS(Table1[[#This Row],[Distance to School (km)]]&gt;=5,"Far",Table1[[#This Row],[Distance to School (km)]]&lt;5,"Near")</f>
        <v>Near</v>
      </c>
      <c r="P294" s="5">
        <f t="shared" si="9"/>
        <v>0.34899999999999998</v>
      </c>
    </row>
    <row r="295" spans="1:16" ht="15" hidden="1" x14ac:dyDescent="0.25">
      <c r="A295" s="2" t="s">
        <v>300</v>
      </c>
      <c r="B295" s="2" t="s">
        <v>654</v>
      </c>
      <c r="C295" s="2" t="s">
        <v>699</v>
      </c>
      <c r="D295" s="2" t="s">
        <v>646</v>
      </c>
      <c r="E295" s="2">
        <v>15</v>
      </c>
      <c r="F295" s="2" t="str" cm="1">
        <f t="array" ref="F295">_xlfn.IFS(Table1[[#This Row],[Age]]&lt;=16,"15-16",Table1[[#This Row],[Age]]&lt;19,"17-18")</f>
        <v>15-16</v>
      </c>
      <c r="G295" s="2" t="s">
        <v>757</v>
      </c>
      <c r="H295" s="3">
        <v>0.36200000000000004</v>
      </c>
      <c r="I295" s="3">
        <v>0.74400000000000011</v>
      </c>
      <c r="J295" s="3" t="str" cm="1">
        <f t="array" ref="J295">_xlfn.IFS(Table1[[#This Row],[Overall Attendance]]&gt;=0.6,"Good",Table1[[#This Row],[Overall Attendance]]&lt;0.6,"Bad")</f>
        <v>Good</v>
      </c>
      <c r="K295" s="4">
        <v>186586</v>
      </c>
      <c r="L295" s="4">
        <f t="shared" si="8"/>
        <v>2239032</v>
      </c>
      <c r="M295" s="4" t="str" cm="1">
        <f t="array" ref="M29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95" s="2">
        <v>3.2</v>
      </c>
      <c r="O295" s="2" t="str" cm="1">
        <f t="array" ref="O295">_xlfn.IFS(Table1[[#This Row],[Distance to School (km)]]&gt;=5,"Far",Table1[[#This Row],[Distance to School (km)]]&lt;5,"Near")</f>
        <v>Near</v>
      </c>
      <c r="P295" s="5">
        <f t="shared" si="9"/>
        <v>0.44699999999999995</v>
      </c>
    </row>
    <row r="296" spans="1:16" ht="15" hidden="1" x14ac:dyDescent="0.25">
      <c r="A296" s="2" t="s">
        <v>301</v>
      </c>
      <c r="B296" s="2" t="s">
        <v>669</v>
      </c>
      <c r="C296" s="2" t="s">
        <v>734</v>
      </c>
      <c r="D296" s="2" t="s">
        <v>753</v>
      </c>
      <c r="E296" s="2">
        <v>15</v>
      </c>
      <c r="F296" s="2" t="str" cm="1">
        <f t="array" ref="F296">_xlfn.IFS(Table1[[#This Row],[Age]]&lt;=16,"15-16",Table1[[#This Row],[Age]]&lt;19,"17-18")</f>
        <v>15-16</v>
      </c>
      <c r="G296" s="2" t="s">
        <v>758</v>
      </c>
      <c r="H296" s="3">
        <v>0.68500000000000005</v>
      </c>
      <c r="I296" s="3">
        <v>0.89800000000000002</v>
      </c>
      <c r="J296" s="3" t="str" cm="1">
        <f t="array" ref="J296">_xlfn.IFS(Table1[[#This Row],[Overall Attendance]]&gt;=0.6,"Good",Table1[[#This Row],[Overall Attendance]]&lt;0.6,"Bad")</f>
        <v>Good</v>
      </c>
      <c r="K296" s="4">
        <v>373545</v>
      </c>
      <c r="L296" s="4">
        <f t="shared" si="8"/>
        <v>4482540</v>
      </c>
      <c r="M296" s="4" t="str" cm="1">
        <f t="array" ref="M29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96" s="2">
        <v>2.8</v>
      </c>
      <c r="O296" s="2" t="str" cm="1">
        <f t="array" ref="O296">_xlfn.IFS(Table1[[#This Row],[Distance to School (km)]]&gt;=5,"Far",Table1[[#This Row],[Distance to School (km)]]&lt;5,"Near")</f>
        <v>Near</v>
      </c>
      <c r="P296" s="5">
        <f t="shared" si="9"/>
        <v>0.20849999999999991</v>
      </c>
    </row>
    <row r="297" spans="1:16" ht="15" x14ac:dyDescent="0.25">
      <c r="A297" s="2" t="s">
        <v>302</v>
      </c>
      <c r="B297" s="2" t="s">
        <v>653</v>
      </c>
      <c r="C297" s="2" t="s">
        <v>701</v>
      </c>
      <c r="D297" s="2" t="s">
        <v>748</v>
      </c>
      <c r="E297" s="2">
        <v>17</v>
      </c>
      <c r="F297" s="2" t="str" cm="1">
        <f t="array" ref="F297">_xlfn.IFS(Table1[[#This Row],[Age]]&lt;=16,"15-16",Table1[[#This Row],[Age]]&lt;19,"17-18")</f>
        <v>17-18</v>
      </c>
      <c r="G297" s="2" t="s">
        <v>757</v>
      </c>
      <c r="H297" s="3">
        <v>0.755</v>
      </c>
      <c r="I297" s="3">
        <v>0.80400000000000005</v>
      </c>
      <c r="J297" s="3" t="str" cm="1">
        <f t="array" ref="J297">_xlfn.IFS(Table1[[#This Row],[Overall Attendance]]&gt;=0.6,"Good",Table1[[#This Row],[Overall Attendance]]&lt;0.6,"Bad")</f>
        <v>Good</v>
      </c>
      <c r="K297" s="4">
        <v>323456</v>
      </c>
      <c r="L297" s="4">
        <f t="shared" si="8"/>
        <v>3881472</v>
      </c>
      <c r="M297" s="4" t="str" cm="1">
        <f t="array" ref="M29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97" s="2">
        <v>10.8</v>
      </c>
      <c r="O297" s="2" t="str" cm="1">
        <f t="array" ref="O297">_xlfn.IFS(Table1[[#This Row],[Distance to School (km)]]&gt;=5,"Far",Table1[[#This Row],[Distance to School (km)]]&lt;5,"Near")</f>
        <v>Far</v>
      </c>
      <c r="P297" s="5">
        <f t="shared" si="9"/>
        <v>0.22049999999999992</v>
      </c>
    </row>
    <row r="298" spans="1:16" ht="15" x14ac:dyDescent="0.25">
      <c r="A298" s="2" t="s">
        <v>303</v>
      </c>
      <c r="B298" s="2" t="s">
        <v>656</v>
      </c>
      <c r="C298" s="2" t="s">
        <v>700</v>
      </c>
      <c r="D298" s="2" t="s">
        <v>755</v>
      </c>
      <c r="E298" s="2">
        <v>17</v>
      </c>
      <c r="F298" s="2" t="str" cm="1">
        <f t="array" ref="F298">_xlfn.IFS(Table1[[#This Row],[Age]]&lt;=16,"15-16",Table1[[#This Row],[Age]]&lt;19,"17-18")</f>
        <v>17-18</v>
      </c>
      <c r="G298" s="2" t="s">
        <v>757</v>
      </c>
      <c r="H298" s="3">
        <v>0.71900000000000008</v>
      </c>
      <c r="I298" s="3">
        <v>0.98</v>
      </c>
      <c r="J298" s="3" t="str" cm="1">
        <f t="array" ref="J298">_xlfn.IFS(Table1[[#This Row],[Overall Attendance]]&gt;=0.6,"Good",Table1[[#This Row],[Overall Attendance]]&lt;0.6,"Bad")</f>
        <v>Good</v>
      </c>
      <c r="K298" s="4">
        <v>158429</v>
      </c>
      <c r="L298" s="4">
        <f t="shared" si="8"/>
        <v>1901148</v>
      </c>
      <c r="M298" s="4" t="str" cm="1">
        <f t="array" ref="M29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98" s="2">
        <v>5.6</v>
      </c>
      <c r="O298" s="2" t="str" cm="1">
        <f t="array" ref="O298">_xlfn.IFS(Table1[[#This Row],[Distance to School (km)]]&gt;=5,"Far",Table1[[#This Row],[Distance to School (km)]]&lt;5,"Near")</f>
        <v>Far</v>
      </c>
      <c r="P298" s="5">
        <f t="shared" si="9"/>
        <v>0.15049999999999997</v>
      </c>
    </row>
    <row r="299" spans="1:16" ht="15" x14ac:dyDescent="0.25">
      <c r="A299" s="2" t="s">
        <v>304</v>
      </c>
      <c r="B299" s="2" t="s">
        <v>641</v>
      </c>
      <c r="C299" s="2" t="s">
        <v>708</v>
      </c>
      <c r="D299" s="2" t="s">
        <v>747</v>
      </c>
      <c r="E299" s="2">
        <v>18</v>
      </c>
      <c r="F299" s="2" t="str" cm="1">
        <f t="array" ref="F299">_xlfn.IFS(Table1[[#This Row],[Age]]&lt;=16,"15-16",Table1[[#This Row],[Age]]&lt;19,"17-18")</f>
        <v>17-18</v>
      </c>
      <c r="G299" s="2" t="s">
        <v>757</v>
      </c>
      <c r="H299" s="3">
        <v>0.80599999999999994</v>
      </c>
      <c r="I299" s="3">
        <v>0.88300000000000001</v>
      </c>
      <c r="J299" s="3" t="str" cm="1">
        <f t="array" ref="J299">_xlfn.IFS(Table1[[#This Row],[Overall Attendance]]&gt;=0.6,"Good",Table1[[#This Row],[Overall Attendance]]&lt;0.6,"Bad")</f>
        <v>Good</v>
      </c>
      <c r="K299" s="4">
        <v>111234</v>
      </c>
      <c r="L299" s="4">
        <f t="shared" si="8"/>
        <v>1334808</v>
      </c>
      <c r="M299" s="4" t="str" cm="1">
        <f t="array" ref="M29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299" s="2">
        <v>9.8000000000000007</v>
      </c>
      <c r="O299" s="2" t="str" cm="1">
        <f t="array" ref="O299">_xlfn.IFS(Table1[[#This Row],[Distance to School (km)]]&gt;=5,"Far",Table1[[#This Row],[Distance to School (km)]]&lt;5,"Near")</f>
        <v>Far</v>
      </c>
      <c r="P299" s="5">
        <f t="shared" si="9"/>
        <v>0.15549999999999997</v>
      </c>
    </row>
    <row r="300" spans="1:16" ht="15" hidden="1" x14ac:dyDescent="0.25">
      <c r="A300" s="2" t="s">
        <v>305</v>
      </c>
      <c r="B300" s="2" t="s">
        <v>649</v>
      </c>
      <c r="C300" s="2" t="s">
        <v>668</v>
      </c>
      <c r="D300" s="2" t="s">
        <v>755</v>
      </c>
      <c r="E300" s="2">
        <v>15</v>
      </c>
      <c r="F300" s="2" t="str" cm="1">
        <f t="array" ref="F300">_xlfn.IFS(Table1[[#This Row],[Age]]&lt;=16,"15-16",Table1[[#This Row],[Age]]&lt;19,"17-18")</f>
        <v>15-16</v>
      </c>
      <c r="G300" s="2" t="s">
        <v>757</v>
      </c>
      <c r="H300" s="3">
        <v>0.67200000000000004</v>
      </c>
      <c r="I300" s="3">
        <v>0.72499999999999998</v>
      </c>
      <c r="J300" s="3" t="str" cm="1">
        <f t="array" ref="J300">_xlfn.IFS(Table1[[#This Row],[Overall Attendance]]&gt;=0.6,"Good",Table1[[#This Row],[Overall Attendance]]&lt;0.6,"Bad")</f>
        <v>Good</v>
      </c>
      <c r="K300" s="4">
        <v>95028</v>
      </c>
      <c r="L300" s="4">
        <f t="shared" si="8"/>
        <v>1140336</v>
      </c>
      <c r="M300" s="4" t="str" cm="1">
        <f t="array" ref="M30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00" s="2">
        <v>6</v>
      </c>
      <c r="O300" s="2" t="str" cm="1">
        <f t="array" ref="O300">_xlfn.IFS(Table1[[#This Row],[Distance to School (km)]]&gt;=5,"Far",Table1[[#This Row],[Distance to School (km)]]&lt;5,"Near")</f>
        <v>Far</v>
      </c>
      <c r="P300" s="5">
        <f t="shared" si="9"/>
        <v>0.30149999999999999</v>
      </c>
    </row>
    <row r="301" spans="1:16" ht="15" x14ac:dyDescent="0.25">
      <c r="A301" s="2" t="s">
        <v>306</v>
      </c>
      <c r="B301" s="2" t="s">
        <v>644</v>
      </c>
      <c r="C301" s="2" t="s">
        <v>716</v>
      </c>
      <c r="D301" s="2" t="s">
        <v>756</v>
      </c>
      <c r="E301" s="2">
        <v>18</v>
      </c>
      <c r="F301" s="2" t="str" cm="1">
        <f t="array" ref="F301">_xlfn.IFS(Table1[[#This Row],[Age]]&lt;=16,"15-16",Table1[[#This Row],[Age]]&lt;19,"17-18")</f>
        <v>17-18</v>
      </c>
      <c r="G301" s="2" t="s">
        <v>758</v>
      </c>
      <c r="H301" s="3">
        <v>0.49</v>
      </c>
      <c r="I301" s="3">
        <v>0.76800000000000002</v>
      </c>
      <c r="J301" s="3" t="str" cm="1">
        <f t="array" ref="J301">_xlfn.IFS(Table1[[#This Row],[Overall Attendance]]&gt;=0.6,"Good",Table1[[#This Row],[Overall Attendance]]&lt;0.6,"Bad")</f>
        <v>Good</v>
      </c>
      <c r="K301" s="4">
        <v>38726</v>
      </c>
      <c r="L301" s="4">
        <f t="shared" si="8"/>
        <v>464712</v>
      </c>
      <c r="M301" s="4" t="str" cm="1">
        <f t="array" ref="M30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01" s="2">
        <v>11.4</v>
      </c>
      <c r="O301" s="2" t="str" cm="1">
        <f t="array" ref="O301">_xlfn.IFS(Table1[[#This Row],[Distance to School (km)]]&gt;=5,"Far",Table1[[#This Row],[Distance to School (km)]]&lt;5,"Near")</f>
        <v>Far</v>
      </c>
      <c r="P301" s="5">
        <f t="shared" si="9"/>
        <v>0.371</v>
      </c>
    </row>
    <row r="302" spans="1:16" ht="15" x14ac:dyDescent="0.25">
      <c r="A302" s="2" t="s">
        <v>307</v>
      </c>
      <c r="B302" s="2" t="s">
        <v>659</v>
      </c>
      <c r="C302" s="2" t="s">
        <v>701</v>
      </c>
      <c r="D302" s="2" t="s">
        <v>740</v>
      </c>
      <c r="E302" s="2">
        <v>17</v>
      </c>
      <c r="F302" s="2" t="str" cm="1">
        <f t="array" ref="F302">_xlfn.IFS(Table1[[#This Row],[Age]]&lt;=16,"15-16",Table1[[#This Row],[Age]]&lt;19,"17-18")</f>
        <v>17-18</v>
      </c>
      <c r="G302" s="2" t="s">
        <v>757</v>
      </c>
      <c r="H302" s="3">
        <v>0.70799999999999996</v>
      </c>
      <c r="I302" s="3">
        <v>0.89500000000000002</v>
      </c>
      <c r="J302" s="3" t="str" cm="1">
        <f t="array" ref="J302">_xlfn.IFS(Table1[[#This Row],[Overall Attendance]]&gt;=0.6,"Good",Table1[[#This Row],[Overall Attendance]]&lt;0.6,"Bad")</f>
        <v>Good</v>
      </c>
      <c r="K302" s="4">
        <v>78534</v>
      </c>
      <c r="L302" s="4">
        <f t="shared" si="8"/>
        <v>942408</v>
      </c>
      <c r="M302" s="4" t="str" cm="1">
        <f t="array" ref="M30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02" s="2">
        <v>10.1</v>
      </c>
      <c r="O302" s="2" t="str" cm="1">
        <f t="array" ref="O302">_xlfn.IFS(Table1[[#This Row],[Distance to School (km)]]&gt;=5,"Far",Table1[[#This Row],[Distance to School (km)]]&lt;5,"Near")</f>
        <v>Far</v>
      </c>
      <c r="P302" s="5">
        <f t="shared" si="9"/>
        <v>0.19850000000000001</v>
      </c>
    </row>
    <row r="303" spans="1:16" ht="15" x14ac:dyDescent="0.25">
      <c r="A303" s="2" t="s">
        <v>308</v>
      </c>
      <c r="B303" s="2" t="s">
        <v>679</v>
      </c>
      <c r="C303" s="2" t="s">
        <v>718</v>
      </c>
      <c r="D303" s="2" t="s">
        <v>742</v>
      </c>
      <c r="E303" s="2">
        <v>18</v>
      </c>
      <c r="F303" s="2" t="str" cm="1">
        <f t="array" ref="F303">_xlfn.IFS(Table1[[#This Row],[Age]]&lt;=16,"15-16",Table1[[#This Row],[Age]]&lt;19,"17-18")</f>
        <v>17-18</v>
      </c>
      <c r="G303" s="2" t="s">
        <v>758</v>
      </c>
      <c r="H303" s="3">
        <v>0.52800000000000002</v>
      </c>
      <c r="I303" s="3">
        <v>0.88500000000000001</v>
      </c>
      <c r="J303" s="3" t="str" cm="1">
        <f t="array" ref="J303">_xlfn.IFS(Table1[[#This Row],[Overall Attendance]]&gt;=0.6,"Good",Table1[[#This Row],[Overall Attendance]]&lt;0.6,"Bad")</f>
        <v>Good</v>
      </c>
      <c r="K303" s="4">
        <v>30686</v>
      </c>
      <c r="L303" s="4">
        <f t="shared" si="8"/>
        <v>368232</v>
      </c>
      <c r="M303" s="4" t="str" cm="1">
        <f t="array" ref="M30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03" s="2">
        <v>9.5</v>
      </c>
      <c r="O303" s="2" t="str" cm="1">
        <f t="array" ref="O303">_xlfn.IFS(Table1[[#This Row],[Distance to School (km)]]&gt;=5,"Far",Table1[[#This Row],[Distance to School (km)]]&lt;5,"Near")</f>
        <v>Far</v>
      </c>
      <c r="P303" s="5">
        <f t="shared" si="9"/>
        <v>0.29349999999999998</v>
      </c>
    </row>
    <row r="304" spans="1:16" ht="15" x14ac:dyDescent="0.25">
      <c r="A304" s="2" t="s">
        <v>309</v>
      </c>
      <c r="B304" s="2" t="s">
        <v>662</v>
      </c>
      <c r="C304" s="2" t="s">
        <v>729</v>
      </c>
      <c r="D304" s="2" t="s">
        <v>751</v>
      </c>
      <c r="E304" s="2">
        <v>17</v>
      </c>
      <c r="F304" s="2" t="str" cm="1">
        <f t="array" ref="F304">_xlfn.IFS(Table1[[#This Row],[Age]]&lt;=16,"15-16",Table1[[#This Row],[Age]]&lt;19,"17-18")</f>
        <v>17-18</v>
      </c>
      <c r="G304" s="2" t="s">
        <v>757</v>
      </c>
      <c r="H304" s="3">
        <v>0.47499999999999998</v>
      </c>
      <c r="I304" s="3">
        <v>0.7659999999999999</v>
      </c>
      <c r="J304" s="3" t="str" cm="1">
        <f t="array" ref="J304">_xlfn.IFS(Table1[[#This Row],[Overall Attendance]]&gt;=0.6,"Good",Table1[[#This Row],[Overall Attendance]]&lt;0.6,"Bad")</f>
        <v>Good</v>
      </c>
      <c r="K304" s="4">
        <v>173753</v>
      </c>
      <c r="L304" s="4">
        <f t="shared" si="8"/>
        <v>2085036</v>
      </c>
      <c r="M304" s="4" t="str" cm="1">
        <f t="array" ref="M30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04" s="2">
        <v>10.5</v>
      </c>
      <c r="O304" s="2" t="str" cm="1">
        <f t="array" ref="O304">_xlfn.IFS(Table1[[#This Row],[Distance to School (km)]]&gt;=5,"Far",Table1[[#This Row],[Distance to School (km)]]&lt;5,"Near")</f>
        <v>Far</v>
      </c>
      <c r="P304" s="5">
        <f t="shared" si="9"/>
        <v>0.37950000000000006</v>
      </c>
    </row>
    <row r="305" spans="1:16" ht="15" x14ac:dyDescent="0.25">
      <c r="A305" s="2" t="s">
        <v>310</v>
      </c>
      <c r="B305" s="2" t="s">
        <v>647</v>
      </c>
      <c r="C305" s="2" t="s">
        <v>704</v>
      </c>
      <c r="D305" s="2" t="s">
        <v>641</v>
      </c>
      <c r="E305" s="2">
        <v>18</v>
      </c>
      <c r="F305" s="2" t="str" cm="1">
        <f t="array" ref="F305">_xlfn.IFS(Table1[[#This Row],[Age]]&lt;=16,"15-16",Table1[[#This Row],[Age]]&lt;19,"17-18")</f>
        <v>17-18</v>
      </c>
      <c r="G305" s="2" t="s">
        <v>758</v>
      </c>
      <c r="H305" s="3">
        <v>0.45600000000000002</v>
      </c>
      <c r="I305" s="3">
        <v>0.83200000000000007</v>
      </c>
      <c r="J305" s="3" t="str" cm="1">
        <f t="array" ref="J305">_xlfn.IFS(Table1[[#This Row],[Overall Attendance]]&gt;=0.6,"Good",Table1[[#This Row],[Overall Attendance]]&lt;0.6,"Bad")</f>
        <v>Good</v>
      </c>
      <c r="K305" s="4">
        <v>61286</v>
      </c>
      <c r="L305" s="4">
        <f t="shared" si="8"/>
        <v>735432</v>
      </c>
      <c r="M305" s="4" t="str" cm="1">
        <f t="array" ref="M30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05" s="2">
        <v>7.6</v>
      </c>
      <c r="O305" s="2" t="str" cm="1">
        <f t="array" ref="O305">_xlfn.IFS(Table1[[#This Row],[Distance to School (km)]]&gt;=5,"Far",Table1[[#This Row],[Distance to School (km)]]&lt;5,"Near")</f>
        <v>Far</v>
      </c>
      <c r="P305" s="5">
        <f t="shared" si="9"/>
        <v>0.35599999999999998</v>
      </c>
    </row>
    <row r="306" spans="1:16" ht="15" x14ac:dyDescent="0.25">
      <c r="A306" s="2" t="s">
        <v>311</v>
      </c>
      <c r="B306" s="2" t="s">
        <v>682</v>
      </c>
      <c r="C306" s="2" t="s">
        <v>728</v>
      </c>
      <c r="D306" s="2" t="s">
        <v>646</v>
      </c>
      <c r="E306" s="2">
        <v>18</v>
      </c>
      <c r="F306" s="2" t="str" cm="1">
        <f t="array" ref="F306">_xlfn.IFS(Table1[[#This Row],[Age]]&lt;=16,"15-16",Table1[[#This Row],[Age]]&lt;19,"17-18")</f>
        <v>17-18</v>
      </c>
      <c r="G306" s="2" t="s">
        <v>757</v>
      </c>
      <c r="H306" s="3">
        <v>0.63500000000000001</v>
      </c>
      <c r="I306" s="3">
        <v>0.98</v>
      </c>
      <c r="J306" s="3" t="str" cm="1">
        <f t="array" ref="J306">_xlfn.IFS(Table1[[#This Row],[Overall Attendance]]&gt;=0.6,"Good",Table1[[#This Row],[Overall Attendance]]&lt;0.6,"Bad")</f>
        <v>Good</v>
      </c>
      <c r="K306" s="4">
        <v>102652</v>
      </c>
      <c r="L306" s="4">
        <f t="shared" si="8"/>
        <v>1231824</v>
      </c>
      <c r="M306" s="4" t="str" cm="1">
        <f t="array" ref="M30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06" s="2">
        <v>4.0999999999999996</v>
      </c>
      <c r="O306" s="2" t="str" cm="1">
        <f t="array" ref="O306">_xlfn.IFS(Table1[[#This Row],[Distance to School (km)]]&gt;=5,"Far",Table1[[#This Row],[Distance to School (km)]]&lt;5,"Near")</f>
        <v>Near</v>
      </c>
      <c r="P306" s="5">
        <f t="shared" si="9"/>
        <v>0.1925</v>
      </c>
    </row>
    <row r="307" spans="1:16" ht="15" hidden="1" x14ac:dyDescent="0.25">
      <c r="A307" s="2" t="s">
        <v>312</v>
      </c>
      <c r="B307" s="2" t="s">
        <v>645</v>
      </c>
      <c r="C307" s="2" t="s">
        <v>715</v>
      </c>
      <c r="D307" s="2" t="s">
        <v>751</v>
      </c>
      <c r="E307" s="2">
        <v>15</v>
      </c>
      <c r="F307" s="2" t="str" cm="1">
        <f t="array" ref="F307">_xlfn.IFS(Table1[[#This Row],[Age]]&lt;=16,"15-16",Table1[[#This Row],[Age]]&lt;19,"17-18")</f>
        <v>15-16</v>
      </c>
      <c r="G307" s="2" t="s">
        <v>757</v>
      </c>
      <c r="H307" s="3">
        <v>0.55799999999999994</v>
      </c>
      <c r="I307" s="3">
        <v>0.97699999999999998</v>
      </c>
      <c r="J307" s="3" t="str" cm="1">
        <f t="array" ref="J307">_xlfn.IFS(Table1[[#This Row],[Overall Attendance]]&gt;=0.6,"Good",Table1[[#This Row],[Overall Attendance]]&lt;0.6,"Bad")</f>
        <v>Good</v>
      </c>
      <c r="K307" s="4">
        <v>391051</v>
      </c>
      <c r="L307" s="4">
        <f t="shared" si="8"/>
        <v>4692612</v>
      </c>
      <c r="M307" s="4" t="str" cm="1">
        <f t="array" ref="M30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07" s="2">
        <v>7.5</v>
      </c>
      <c r="O307" s="2" t="str" cm="1">
        <f t="array" ref="O307">_xlfn.IFS(Table1[[#This Row],[Distance to School (km)]]&gt;=5,"Far",Table1[[#This Row],[Distance to School (km)]]&lt;5,"Near")</f>
        <v>Far</v>
      </c>
      <c r="P307" s="5">
        <f t="shared" si="9"/>
        <v>0.23250000000000004</v>
      </c>
    </row>
    <row r="308" spans="1:16" ht="15" x14ac:dyDescent="0.25">
      <c r="A308" s="2" t="s">
        <v>313</v>
      </c>
      <c r="B308" s="2" t="s">
        <v>659</v>
      </c>
      <c r="C308" s="2" t="s">
        <v>690</v>
      </c>
      <c r="D308" s="2" t="s">
        <v>750</v>
      </c>
      <c r="E308" s="2">
        <v>18</v>
      </c>
      <c r="F308" s="2" t="str" cm="1">
        <f t="array" ref="F308">_xlfn.IFS(Table1[[#This Row],[Age]]&lt;=16,"15-16",Table1[[#This Row],[Age]]&lt;19,"17-18")</f>
        <v>17-18</v>
      </c>
      <c r="G308" s="2" t="s">
        <v>757</v>
      </c>
      <c r="H308" s="3">
        <v>0.5</v>
      </c>
      <c r="I308" s="3">
        <v>0.23</v>
      </c>
      <c r="J308" s="3" t="str" cm="1">
        <f t="array" ref="J308">_xlfn.IFS(Table1[[#This Row],[Overall Attendance]]&gt;=0.6,"Good",Table1[[#This Row],[Overall Attendance]]&lt;0.6,"Bad")</f>
        <v>Bad</v>
      </c>
      <c r="K308" s="4">
        <v>74505</v>
      </c>
      <c r="L308" s="4">
        <f t="shared" si="8"/>
        <v>894060</v>
      </c>
      <c r="M308" s="4" t="str" cm="1">
        <f t="array" ref="M30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08" s="2">
        <v>1.3</v>
      </c>
      <c r="O308" s="2" t="str" cm="1">
        <f t="array" ref="O308">_xlfn.IFS(Table1[[#This Row],[Distance to School (km)]]&gt;=5,"Far",Table1[[#This Row],[Distance to School (km)]]&lt;5,"Near")</f>
        <v>Near</v>
      </c>
      <c r="P308" s="5">
        <f t="shared" si="9"/>
        <v>0.63500000000000001</v>
      </c>
    </row>
    <row r="309" spans="1:16" ht="15" x14ac:dyDescent="0.25">
      <c r="A309" s="2" t="s">
        <v>314</v>
      </c>
      <c r="B309" s="2" t="s">
        <v>652</v>
      </c>
      <c r="C309" s="2" t="s">
        <v>687</v>
      </c>
      <c r="D309" s="2" t="s">
        <v>747</v>
      </c>
      <c r="E309" s="2">
        <v>17</v>
      </c>
      <c r="F309" s="2" t="str" cm="1">
        <f t="array" ref="F309">_xlfn.IFS(Table1[[#This Row],[Age]]&lt;=16,"15-16",Table1[[#This Row],[Age]]&lt;19,"17-18")</f>
        <v>17-18</v>
      </c>
      <c r="G309" s="2" t="s">
        <v>757</v>
      </c>
      <c r="H309" s="3">
        <v>0.69700000000000006</v>
      </c>
      <c r="I309" s="3">
        <v>0.83200000000000007</v>
      </c>
      <c r="J309" s="3" t="str" cm="1">
        <f t="array" ref="J309">_xlfn.IFS(Table1[[#This Row],[Overall Attendance]]&gt;=0.6,"Good",Table1[[#This Row],[Overall Attendance]]&lt;0.6,"Bad")</f>
        <v>Good</v>
      </c>
      <c r="K309" s="4">
        <v>47293</v>
      </c>
      <c r="L309" s="4">
        <f t="shared" si="8"/>
        <v>567516</v>
      </c>
      <c r="M309" s="4" t="str" cm="1">
        <f t="array" ref="M30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09" s="2">
        <v>5.7</v>
      </c>
      <c r="O309" s="2" t="str" cm="1">
        <f t="array" ref="O309">_xlfn.IFS(Table1[[#This Row],[Distance to School (km)]]&gt;=5,"Far",Table1[[#This Row],[Distance to School (km)]]&lt;5,"Near")</f>
        <v>Far</v>
      </c>
      <c r="P309" s="5">
        <f t="shared" si="9"/>
        <v>0.23549999999999993</v>
      </c>
    </row>
    <row r="310" spans="1:16" ht="15" x14ac:dyDescent="0.25">
      <c r="A310" s="2" t="s">
        <v>315</v>
      </c>
      <c r="B310" s="2" t="s">
        <v>651</v>
      </c>
      <c r="C310" s="2" t="s">
        <v>692</v>
      </c>
      <c r="D310" s="2" t="s">
        <v>744</v>
      </c>
      <c r="E310" s="2">
        <v>18</v>
      </c>
      <c r="F310" s="2" t="str" cm="1">
        <f t="array" ref="F310">_xlfn.IFS(Table1[[#This Row],[Age]]&lt;=16,"15-16",Table1[[#This Row],[Age]]&lt;19,"17-18")</f>
        <v>17-18</v>
      </c>
      <c r="G310" s="2" t="s">
        <v>757</v>
      </c>
      <c r="H310" s="3">
        <v>0.45</v>
      </c>
      <c r="I310" s="3">
        <v>0.81499999999999995</v>
      </c>
      <c r="J310" s="3" t="str" cm="1">
        <f t="array" ref="J310">_xlfn.IFS(Table1[[#This Row],[Overall Attendance]]&gt;=0.6,"Good",Table1[[#This Row],[Overall Attendance]]&lt;0.6,"Bad")</f>
        <v>Good</v>
      </c>
      <c r="K310" s="4">
        <v>104006</v>
      </c>
      <c r="L310" s="4">
        <f t="shared" si="8"/>
        <v>1248072</v>
      </c>
      <c r="M310" s="4" t="str" cm="1">
        <f t="array" ref="M31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10" s="2">
        <v>6.1</v>
      </c>
      <c r="O310" s="2" t="str" cm="1">
        <f t="array" ref="O310">_xlfn.IFS(Table1[[#This Row],[Distance to School (km)]]&gt;=5,"Far",Table1[[#This Row],[Distance to School (km)]]&lt;5,"Near")</f>
        <v>Far</v>
      </c>
      <c r="P310" s="5">
        <f t="shared" si="9"/>
        <v>0.36750000000000005</v>
      </c>
    </row>
    <row r="311" spans="1:16" ht="15" x14ac:dyDescent="0.25">
      <c r="A311" s="2" t="s">
        <v>316</v>
      </c>
      <c r="B311" s="2" t="s">
        <v>681</v>
      </c>
      <c r="C311" s="2" t="s">
        <v>715</v>
      </c>
      <c r="D311" s="2" t="s">
        <v>747</v>
      </c>
      <c r="E311" s="2">
        <v>18</v>
      </c>
      <c r="F311" s="2" t="str" cm="1">
        <f t="array" ref="F311">_xlfn.IFS(Table1[[#This Row],[Age]]&lt;=16,"15-16",Table1[[#This Row],[Age]]&lt;19,"17-18")</f>
        <v>17-18</v>
      </c>
      <c r="G311" s="2" t="s">
        <v>757</v>
      </c>
      <c r="H311" s="3">
        <v>0.51500000000000001</v>
      </c>
      <c r="I311" s="3">
        <v>0.79099999999999993</v>
      </c>
      <c r="J311" s="3" t="str" cm="1">
        <f t="array" ref="J311">_xlfn.IFS(Table1[[#This Row],[Overall Attendance]]&gt;=0.6,"Good",Table1[[#This Row],[Overall Attendance]]&lt;0.6,"Bad")</f>
        <v>Good</v>
      </c>
      <c r="K311" s="4">
        <v>47448</v>
      </c>
      <c r="L311" s="4">
        <f t="shared" si="8"/>
        <v>569376</v>
      </c>
      <c r="M311" s="4" t="str" cm="1">
        <f t="array" ref="M31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11" s="2">
        <v>3.8</v>
      </c>
      <c r="O311" s="2" t="str" cm="1">
        <f t="array" ref="O311">_xlfn.IFS(Table1[[#This Row],[Distance to School (km)]]&gt;=5,"Far",Table1[[#This Row],[Distance to School (km)]]&lt;5,"Near")</f>
        <v>Near</v>
      </c>
      <c r="P311" s="5">
        <f t="shared" si="9"/>
        <v>0.34699999999999998</v>
      </c>
    </row>
    <row r="312" spans="1:16" ht="15" hidden="1" x14ac:dyDescent="0.25">
      <c r="A312" s="2" t="s">
        <v>317</v>
      </c>
      <c r="B312" s="2" t="s">
        <v>675</v>
      </c>
      <c r="C312" s="2" t="s">
        <v>701</v>
      </c>
      <c r="D312" s="2" t="s">
        <v>739</v>
      </c>
      <c r="E312" s="2">
        <v>15</v>
      </c>
      <c r="F312" s="2" t="str" cm="1">
        <f t="array" ref="F312">_xlfn.IFS(Table1[[#This Row],[Age]]&lt;=16,"15-16",Table1[[#This Row],[Age]]&lt;19,"17-18")</f>
        <v>15-16</v>
      </c>
      <c r="G312" s="2" t="s">
        <v>757</v>
      </c>
      <c r="H312" s="3">
        <v>0.85099999999999998</v>
      </c>
      <c r="I312" s="3">
        <v>0.77700000000000002</v>
      </c>
      <c r="J312" s="3" t="str" cm="1">
        <f t="array" ref="J312">_xlfn.IFS(Table1[[#This Row],[Overall Attendance]]&gt;=0.6,"Good",Table1[[#This Row],[Overall Attendance]]&lt;0.6,"Bad")</f>
        <v>Good</v>
      </c>
      <c r="K312" s="4">
        <v>188827</v>
      </c>
      <c r="L312" s="4">
        <f t="shared" si="8"/>
        <v>2265924</v>
      </c>
      <c r="M312" s="4" t="str" cm="1">
        <f t="array" ref="M31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12" s="2">
        <v>8</v>
      </c>
      <c r="O312" s="2" t="str" cm="1">
        <f t="array" ref="O312">_xlfn.IFS(Table1[[#This Row],[Distance to School (km)]]&gt;=5,"Far",Table1[[#This Row],[Distance to School (km)]]&lt;5,"Near")</f>
        <v>Far</v>
      </c>
      <c r="P312" s="5">
        <f t="shared" si="9"/>
        <v>0.18599999999999994</v>
      </c>
    </row>
    <row r="313" spans="1:16" ht="15" x14ac:dyDescent="0.25">
      <c r="A313" s="2" t="s">
        <v>318</v>
      </c>
      <c r="B313" s="2" t="s">
        <v>648</v>
      </c>
      <c r="C313" s="2" t="s">
        <v>646</v>
      </c>
      <c r="D313" s="2" t="s">
        <v>641</v>
      </c>
      <c r="E313" s="2">
        <v>18</v>
      </c>
      <c r="F313" s="2" t="str" cm="1">
        <f t="array" ref="F313">_xlfn.IFS(Table1[[#This Row],[Age]]&lt;=16,"15-16",Table1[[#This Row],[Age]]&lt;19,"17-18")</f>
        <v>17-18</v>
      </c>
      <c r="G313" s="2" t="s">
        <v>757</v>
      </c>
      <c r="H313" s="3">
        <v>0.72</v>
      </c>
      <c r="I313" s="3">
        <v>0.97900000000000009</v>
      </c>
      <c r="J313" s="3" t="str" cm="1">
        <f t="array" ref="J313">_xlfn.IFS(Table1[[#This Row],[Overall Attendance]]&gt;=0.6,"Good",Table1[[#This Row],[Overall Attendance]]&lt;0.6,"Bad")</f>
        <v>Good</v>
      </c>
      <c r="K313" s="4">
        <v>179737</v>
      </c>
      <c r="L313" s="4">
        <f t="shared" si="8"/>
        <v>2156844</v>
      </c>
      <c r="M313" s="4" t="str" cm="1">
        <f t="array" ref="M31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13" s="2">
        <v>5.4</v>
      </c>
      <c r="O313" s="2" t="str" cm="1">
        <f t="array" ref="O313">_xlfn.IFS(Table1[[#This Row],[Distance to School (km)]]&gt;=5,"Far",Table1[[#This Row],[Distance to School (km)]]&lt;5,"Near")</f>
        <v>Far</v>
      </c>
      <c r="P313" s="5">
        <f t="shared" si="9"/>
        <v>0.15049999999999997</v>
      </c>
    </row>
    <row r="314" spans="1:16" ht="15" x14ac:dyDescent="0.25">
      <c r="A314" s="2" t="s">
        <v>319</v>
      </c>
      <c r="B314" s="2" t="s">
        <v>665</v>
      </c>
      <c r="C314" s="2" t="s">
        <v>697</v>
      </c>
      <c r="D314" s="2" t="s">
        <v>740</v>
      </c>
      <c r="E314" s="2">
        <v>17</v>
      </c>
      <c r="F314" s="2" t="str" cm="1">
        <f t="array" ref="F314">_xlfn.IFS(Table1[[#This Row],[Age]]&lt;=16,"15-16",Table1[[#This Row],[Age]]&lt;19,"17-18")</f>
        <v>17-18</v>
      </c>
      <c r="G314" s="2" t="s">
        <v>758</v>
      </c>
      <c r="H314" s="3">
        <v>0.44299999999999995</v>
      </c>
      <c r="I314" s="3">
        <v>0.85099999999999998</v>
      </c>
      <c r="J314" s="3" t="str" cm="1">
        <f t="array" ref="J314">_xlfn.IFS(Table1[[#This Row],[Overall Attendance]]&gt;=0.6,"Good",Table1[[#This Row],[Overall Attendance]]&lt;0.6,"Bad")</f>
        <v>Good</v>
      </c>
      <c r="K314" s="4">
        <v>47011</v>
      </c>
      <c r="L314" s="4">
        <f t="shared" si="8"/>
        <v>564132</v>
      </c>
      <c r="M314" s="4" t="str" cm="1">
        <f t="array" ref="M31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14" s="2">
        <v>0.6</v>
      </c>
      <c r="O314" s="2" t="str" cm="1">
        <f t="array" ref="O314">_xlfn.IFS(Table1[[#This Row],[Distance to School (km)]]&gt;=5,"Far",Table1[[#This Row],[Distance to School (km)]]&lt;5,"Near")</f>
        <v>Near</v>
      </c>
      <c r="P314" s="5">
        <f t="shared" si="9"/>
        <v>0.35299999999999998</v>
      </c>
    </row>
    <row r="315" spans="1:16" ht="15" x14ac:dyDescent="0.25">
      <c r="A315" s="2" t="s">
        <v>320</v>
      </c>
      <c r="B315" s="2" t="s">
        <v>678</v>
      </c>
      <c r="C315" s="2" t="s">
        <v>705</v>
      </c>
      <c r="D315" s="2" t="s">
        <v>743</v>
      </c>
      <c r="E315" s="2">
        <v>17</v>
      </c>
      <c r="F315" s="2" t="str" cm="1">
        <f t="array" ref="F315">_xlfn.IFS(Table1[[#This Row],[Age]]&lt;=16,"15-16",Table1[[#This Row],[Age]]&lt;19,"17-18")</f>
        <v>17-18</v>
      </c>
      <c r="G315" s="2" t="s">
        <v>758</v>
      </c>
      <c r="H315" s="3">
        <v>0.51200000000000001</v>
      </c>
      <c r="I315" s="3">
        <v>0.83</v>
      </c>
      <c r="J315" s="3" t="str" cm="1">
        <f t="array" ref="J315">_xlfn.IFS(Table1[[#This Row],[Overall Attendance]]&gt;=0.6,"Good",Table1[[#This Row],[Overall Attendance]]&lt;0.6,"Bad")</f>
        <v>Good</v>
      </c>
      <c r="K315" s="4">
        <v>142617</v>
      </c>
      <c r="L315" s="4">
        <f t="shared" si="8"/>
        <v>1711404</v>
      </c>
      <c r="M315" s="4" t="str" cm="1">
        <f t="array" ref="M31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15" s="2">
        <v>8</v>
      </c>
      <c r="O315" s="2" t="str" cm="1">
        <f t="array" ref="O315">_xlfn.IFS(Table1[[#This Row],[Distance to School (km)]]&gt;=5,"Far",Table1[[#This Row],[Distance to School (km)]]&lt;5,"Near")</f>
        <v>Far</v>
      </c>
      <c r="P315" s="5">
        <f t="shared" si="9"/>
        <v>0.32899999999999996</v>
      </c>
    </row>
    <row r="316" spans="1:16" ht="15" hidden="1" x14ac:dyDescent="0.25">
      <c r="A316" s="2" t="s">
        <v>321</v>
      </c>
      <c r="B316" s="2" t="s">
        <v>652</v>
      </c>
      <c r="C316" s="2" t="s">
        <v>695</v>
      </c>
      <c r="D316" s="2" t="s">
        <v>739</v>
      </c>
      <c r="E316" s="2">
        <v>15</v>
      </c>
      <c r="F316" s="2" t="str" cm="1">
        <f t="array" ref="F316">_xlfn.IFS(Table1[[#This Row],[Age]]&lt;=16,"15-16",Table1[[#This Row],[Age]]&lt;19,"17-18")</f>
        <v>15-16</v>
      </c>
      <c r="G316" s="2" t="s">
        <v>757</v>
      </c>
      <c r="H316" s="3">
        <v>0.622</v>
      </c>
      <c r="I316" s="3">
        <v>0.85400000000000009</v>
      </c>
      <c r="J316" s="3" t="str" cm="1">
        <f t="array" ref="J316">_xlfn.IFS(Table1[[#This Row],[Overall Attendance]]&gt;=0.6,"Good",Table1[[#This Row],[Overall Attendance]]&lt;0.6,"Bad")</f>
        <v>Good</v>
      </c>
      <c r="K316" s="4">
        <v>152966</v>
      </c>
      <c r="L316" s="4">
        <f t="shared" si="8"/>
        <v>1835592</v>
      </c>
      <c r="M316" s="4" t="str" cm="1">
        <f t="array" ref="M31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16" s="2">
        <v>8.3000000000000007</v>
      </c>
      <c r="O316" s="2" t="str" cm="1">
        <f t="array" ref="O316">_xlfn.IFS(Table1[[#This Row],[Distance to School (km)]]&gt;=5,"Far",Table1[[#This Row],[Distance to School (km)]]&lt;5,"Near")</f>
        <v>Far</v>
      </c>
      <c r="P316" s="5">
        <f t="shared" si="9"/>
        <v>0.26200000000000001</v>
      </c>
    </row>
    <row r="317" spans="1:16" ht="15" hidden="1" x14ac:dyDescent="0.25">
      <c r="A317" s="2" t="s">
        <v>322</v>
      </c>
      <c r="B317" s="2" t="s">
        <v>665</v>
      </c>
      <c r="C317" s="2" t="s">
        <v>705</v>
      </c>
      <c r="D317" s="2" t="s">
        <v>750</v>
      </c>
      <c r="E317" s="2">
        <v>16</v>
      </c>
      <c r="F317" s="2" t="str" cm="1">
        <f t="array" ref="F317">_xlfn.IFS(Table1[[#This Row],[Age]]&lt;=16,"15-16",Table1[[#This Row],[Age]]&lt;19,"17-18")</f>
        <v>15-16</v>
      </c>
      <c r="G317" s="2" t="s">
        <v>758</v>
      </c>
      <c r="H317" s="3">
        <v>0.45799999999999996</v>
      </c>
      <c r="I317" s="3">
        <v>0.91200000000000003</v>
      </c>
      <c r="J317" s="3" t="str" cm="1">
        <f t="array" ref="J317">_xlfn.IFS(Table1[[#This Row],[Overall Attendance]]&gt;=0.6,"Good",Table1[[#This Row],[Overall Attendance]]&lt;0.6,"Bad")</f>
        <v>Good</v>
      </c>
      <c r="K317" s="4">
        <v>174979</v>
      </c>
      <c r="L317" s="4">
        <f t="shared" si="8"/>
        <v>2099748</v>
      </c>
      <c r="M317" s="4" t="str" cm="1">
        <f t="array" ref="M31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17" s="2">
        <v>8.9</v>
      </c>
      <c r="O317" s="2" t="str" cm="1">
        <f t="array" ref="O317">_xlfn.IFS(Table1[[#This Row],[Distance to School (km)]]&gt;=5,"Far",Table1[[#This Row],[Distance to School (km)]]&lt;5,"Near")</f>
        <v>Far</v>
      </c>
      <c r="P317" s="5">
        <f t="shared" si="9"/>
        <v>0.31499999999999995</v>
      </c>
    </row>
    <row r="318" spans="1:16" ht="15" x14ac:dyDescent="0.25">
      <c r="A318" s="2" t="s">
        <v>323</v>
      </c>
      <c r="B318" s="2" t="s">
        <v>646</v>
      </c>
      <c r="C318" s="2" t="s">
        <v>723</v>
      </c>
      <c r="D318" s="2" t="s">
        <v>756</v>
      </c>
      <c r="E318" s="2">
        <v>17</v>
      </c>
      <c r="F318" s="2" t="str" cm="1">
        <f t="array" ref="F318">_xlfn.IFS(Table1[[#This Row],[Age]]&lt;=16,"15-16",Table1[[#This Row],[Age]]&lt;19,"17-18")</f>
        <v>17-18</v>
      </c>
      <c r="G318" s="2" t="s">
        <v>758</v>
      </c>
      <c r="H318" s="3">
        <v>0.59699999999999998</v>
      </c>
      <c r="I318" s="3">
        <v>0.878</v>
      </c>
      <c r="J318" s="3" t="str" cm="1">
        <f t="array" ref="J318">_xlfn.IFS(Table1[[#This Row],[Overall Attendance]]&gt;=0.6,"Good",Table1[[#This Row],[Overall Attendance]]&lt;0.6,"Bad")</f>
        <v>Good</v>
      </c>
      <c r="K318" s="4">
        <v>41548</v>
      </c>
      <c r="L318" s="4">
        <f t="shared" si="8"/>
        <v>498576</v>
      </c>
      <c r="M318" s="4" t="str" cm="1">
        <f t="array" ref="M31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18" s="2">
        <v>5.9</v>
      </c>
      <c r="O318" s="2" t="str" cm="1">
        <f t="array" ref="O318">_xlfn.IFS(Table1[[#This Row],[Distance to School (km)]]&gt;=5,"Far",Table1[[#This Row],[Distance to School (km)]]&lt;5,"Near")</f>
        <v>Far</v>
      </c>
      <c r="P318" s="5">
        <f t="shared" si="9"/>
        <v>0.26249999999999996</v>
      </c>
    </row>
    <row r="319" spans="1:16" ht="15" x14ac:dyDescent="0.25">
      <c r="A319" s="2" t="s">
        <v>324</v>
      </c>
      <c r="B319" s="2" t="s">
        <v>682</v>
      </c>
      <c r="C319" s="2" t="s">
        <v>672</v>
      </c>
      <c r="D319" s="2" t="s">
        <v>641</v>
      </c>
      <c r="E319" s="2">
        <v>17</v>
      </c>
      <c r="F319" s="2" t="str" cm="1">
        <f t="array" ref="F319">_xlfn.IFS(Table1[[#This Row],[Age]]&lt;=16,"15-16",Table1[[#This Row],[Age]]&lt;19,"17-18")</f>
        <v>17-18</v>
      </c>
      <c r="G319" s="2" t="s">
        <v>757</v>
      </c>
      <c r="H319" s="3">
        <v>0.71499999999999997</v>
      </c>
      <c r="I319" s="3">
        <v>0.87</v>
      </c>
      <c r="J319" s="3" t="str" cm="1">
        <f t="array" ref="J319">_xlfn.IFS(Table1[[#This Row],[Overall Attendance]]&gt;=0.6,"Good",Table1[[#This Row],[Overall Attendance]]&lt;0.6,"Bad")</f>
        <v>Good</v>
      </c>
      <c r="K319" s="4">
        <v>155113</v>
      </c>
      <c r="L319" s="4">
        <f t="shared" si="8"/>
        <v>1861356</v>
      </c>
      <c r="M319" s="4" t="str" cm="1">
        <f t="array" ref="M31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19" s="2">
        <v>3.5</v>
      </c>
      <c r="O319" s="2" t="str" cm="1">
        <f t="array" ref="O319">_xlfn.IFS(Table1[[#This Row],[Distance to School (km)]]&gt;=5,"Far",Table1[[#This Row],[Distance to School (km)]]&lt;5,"Near")</f>
        <v>Near</v>
      </c>
      <c r="P319" s="5">
        <f t="shared" si="9"/>
        <v>0.20750000000000002</v>
      </c>
    </row>
    <row r="320" spans="1:16" ht="15" x14ac:dyDescent="0.25">
      <c r="A320" s="2" t="s">
        <v>325</v>
      </c>
      <c r="B320" s="2" t="s">
        <v>661</v>
      </c>
      <c r="C320" s="2" t="s">
        <v>716</v>
      </c>
      <c r="D320" s="2" t="s">
        <v>753</v>
      </c>
      <c r="E320" s="2">
        <v>18</v>
      </c>
      <c r="F320" s="2" t="str" cm="1">
        <f t="array" ref="F320">_xlfn.IFS(Table1[[#This Row],[Age]]&lt;=16,"15-16",Table1[[#This Row],[Age]]&lt;19,"17-18")</f>
        <v>17-18</v>
      </c>
      <c r="G320" s="2" t="s">
        <v>758</v>
      </c>
      <c r="H320" s="3">
        <v>0.78099999999999992</v>
      </c>
      <c r="I320" s="3">
        <v>0.86699999999999999</v>
      </c>
      <c r="J320" s="3" t="str" cm="1">
        <f t="array" ref="J320">_xlfn.IFS(Table1[[#This Row],[Overall Attendance]]&gt;=0.6,"Good",Table1[[#This Row],[Overall Attendance]]&lt;0.6,"Bad")</f>
        <v>Good</v>
      </c>
      <c r="K320" s="4">
        <v>90676</v>
      </c>
      <c r="L320" s="4">
        <f t="shared" si="8"/>
        <v>1088112</v>
      </c>
      <c r="M320" s="4" t="str" cm="1">
        <f t="array" ref="M32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20" s="2">
        <v>6.3</v>
      </c>
      <c r="O320" s="2" t="str" cm="1">
        <f t="array" ref="O320">_xlfn.IFS(Table1[[#This Row],[Distance to School (km)]]&gt;=5,"Far",Table1[[#This Row],[Distance to School (km)]]&lt;5,"Near")</f>
        <v>Far</v>
      </c>
      <c r="P320" s="5">
        <f t="shared" si="9"/>
        <v>0.17600000000000005</v>
      </c>
    </row>
    <row r="321" spans="1:16" ht="15" hidden="1" x14ac:dyDescent="0.25">
      <c r="A321" s="2" t="s">
        <v>326</v>
      </c>
      <c r="B321" s="2" t="s">
        <v>649</v>
      </c>
      <c r="C321" s="2" t="s">
        <v>698</v>
      </c>
      <c r="D321" s="2" t="s">
        <v>751</v>
      </c>
      <c r="E321" s="2">
        <v>16</v>
      </c>
      <c r="F321" s="2" t="str" cm="1">
        <f t="array" ref="F321">_xlfn.IFS(Table1[[#This Row],[Age]]&lt;=16,"15-16",Table1[[#This Row],[Age]]&lt;19,"17-18")</f>
        <v>15-16</v>
      </c>
      <c r="G321" s="2" t="s">
        <v>758</v>
      </c>
      <c r="H321" s="3">
        <v>0.67200000000000004</v>
      </c>
      <c r="I321" s="3">
        <v>0.871</v>
      </c>
      <c r="J321" s="3" t="str" cm="1">
        <f t="array" ref="J321">_xlfn.IFS(Table1[[#This Row],[Overall Attendance]]&gt;=0.6,"Good",Table1[[#This Row],[Overall Attendance]]&lt;0.6,"Bad")</f>
        <v>Good</v>
      </c>
      <c r="K321" s="4">
        <v>159975</v>
      </c>
      <c r="L321" s="4">
        <f t="shared" si="8"/>
        <v>1919700</v>
      </c>
      <c r="M321" s="4" t="str" cm="1">
        <f t="array" ref="M32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21" s="2">
        <v>10.4</v>
      </c>
      <c r="O321" s="2" t="str" cm="1">
        <f t="array" ref="O321">_xlfn.IFS(Table1[[#This Row],[Distance to School (km)]]&gt;=5,"Far",Table1[[#This Row],[Distance to School (km)]]&lt;5,"Near")</f>
        <v>Far</v>
      </c>
      <c r="P321" s="5">
        <f t="shared" si="9"/>
        <v>0.22849999999999993</v>
      </c>
    </row>
    <row r="322" spans="1:16" ht="15" hidden="1" x14ac:dyDescent="0.25">
      <c r="A322" s="2" t="s">
        <v>327</v>
      </c>
      <c r="B322" s="2" t="s">
        <v>682</v>
      </c>
      <c r="C322" s="2" t="s">
        <v>646</v>
      </c>
      <c r="D322" s="2" t="s">
        <v>641</v>
      </c>
      <c r="E322" s="2">
        <v>16</v>
      </c>
      <c r="F322" s="2" t="str" cm="1">
        <f t="array" ref="F322">_xlfn.IFS(Table1[[#This Row],[Age]]&lt;=16,"15-16",Table1[[#This Row],[Age]]&lt;19,"17-18")</f>
        <v>15-16</v>
      </c>
      <c r="G322" s="2" t="s">
        <v>757</v>
      </c>
      <c r="H322" s="3">
        <v>0.72400000000000009</v>
      </c>
      <c r="I322" s="3">
        <v>0.81299999999999994</v>
      </c>
      <c r="J322" s="3" t="str" cm="1">
        <f t="array" ref="J322">_xlfn.IFS(Table1[[#This Row],[Overall Attendance]]&gt;=0.6,"Good",Table1[[#This Row],[Overall Attendance]]&lt;0.6,"Bad")</f>
        <v>Good</v>
      </c>
      <c r="K322" s="4">
        <v>50309</v>
      </c>
      <c r="L322" s="4">
        <f t="shared" si="8"/>
        <v>603708</v>
      </c>
      <c r="M322" s="4" t="str" cm="1">
        <f t="array" ref="M32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22" s="2">
        <v>9.3000000000000007</v>
      </c>
      <c r="O322" s="2" t="str" cm="1">
        <f t="array" ref="O322">_xlfn.IFS(Table1[[#This Row],[Distance to School (km)]]&gt;=5,"Far",Table1[[#This Row],[Distance to School (km)]]&lt;5,"Near")</f>
        <v>Far</v>
      </c>
      <c r="P322" s="5">
        <f t="shared" si="9"/>
        <v>0.23150000000000004</v>
      </c>
    </row>
    <row r="323" spans="1:16" ht="15" hidden="1" x14ac:dyDescent="0.25">
      <c r="A323" s="2" t="s">
        <v>328</v>
      </c>
      <c r="B323" s="2" t="s">
        <v>670</v>
      </c>
      <c r="C323" s="2" t="s">
        <v>646</v>
      </c>
      <c r="D323" s="2" t="s">
        <v>751</v>
      </c>
      <c r="E323" s="2">
        <v>16</v>
      </c>
      <c r="F323" s="2" t="str" cm="1">
        <f t="array" ref="F323">_xlfn.IFS(Table1[[#This Row],[Age]]&lt;=16,"15-16",Table1[[#This Row],[Age]]&lt;19,"17-18")</f>
        <v>15-16</v>
      </c>
      <c r="G323" s="2" t="s">
        <v>757</v>
      </c>
      <c r="H323" s="3">
        <v>0.49200000000000005</v>
      </c>
      <c r="I323" s="3">
        <v>0.72699999999999998</v>
      </c>
      <c r="J323" s="3" t="str" cm="1">
        <f t="array" ref="J323">_xlfn.IFS(Table1[[#This Row],[Overall Attendance]]&gt;=0.6,"Good",Table1[[#This Row],[Overall Attendance]]&lt;0.6,"Bad")</f>
        <v>Good</v>
      </c>
      <c r="K323" s="4">
        <v>33218</v>
      </c>
      <c r="L323" s="4">
        <f t="shared" ref="L323:L386" si="10">K323*12</f>
        <v>398616</v>
      </c>
      <c r="M323" s="4" t="str" cm="1">
        <f t="array" ref="M32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23" s="2">
        <v>0.9</v>
      </c>
      <c r="O323" s="2" t="str" cm="1">
        <f t="array" ref="O323">_xlfn.IFS(Table1[[#This Row],[Distance to School (km)]]&gt;=5,"Far",Table1[[#This Row],[Distance to School (km)]]&lt;5,"Near")</f>
        <v>Near</v>
      </c>
      <c r="P323" s="5">
        <f t="shared" ref="P323:P386" si="11">100%-AVERAGE(H323:I323)</f>
        <v>0.39049999999999996</v>
      </c>
    </row>
    <row r="324" spans="1:16" ht="15" x14ac:dyDescent="0.25">
      <c r="A324" s="2" t="s">
        <v>329</v>
      </c>
      <c r="B324" s="2" t="s">
        <v>667</v>
      </c>
      <c r="C324" s="2" t="s">
        <v>725</v>
      </c>
      <c r="D324" s="2" t="s">
        <v>739</v>
      </c>
      <c r="E324" s="2">
        <v>17</v>
      </c>
      <c r="F324" s="2" t="str" cm="1">
        <f t="array" ref="F324">_xlfn.IFS(Table1[[#This Row],[Age]]&lt;=16,"15-16",Table1[[#This Row],[Age]]&lt;19,"17-18")</f>
        <v>17-18</v>
      </c>
      <c r="G324" s="2" t="s">
        <v>758</v>
      </c>
      <c r="H324" s="3">
        <v>0.65900000000000003</v>
      </c>
      <c r="I324" s="3">
        <v>0.76400000000000001</v>
      </c>
      <c r="J324" s="3" t="str" cm="1">
        <f t="array" ref="J324">_xlfn.IFS(Table1[[#This Row],[Overall Attendance]]&gt;=0.6,"Good",Table1[[#This Row],[Overall Attendance]]&lt;0.6,"Bad")</f>
        <v>Good</v>
      </c>
      <c r="K324" s="4">
        <v>50271</v>
      </c>
      <c r="L324" s="4">
        <f t="shared" si="10"/>
        <v>603252</v>
      </c>
      <c r="M324" s="4" t="str" cm="1">
        <f t="array" ref="M32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24" s="2">
        <v>3.1</v>
      </c>
      <c r="O324" s="2" t="str" cm="1">
        <f t="array" ref="O324">_xlfn.IFS(Table1[[#This Row],[Distance to School (km)]]&gt;=5,"Far",Table1[[#This Row],[Distance to School (km)]]&lt;5,"Near")</f>
        <v>Near</v>
      </c>
      <c r="P324" s="5">
        <f t="shared" si="11"/>
        <v>0.28849999999999998</v>
      </c>
    </row>
    <row r="325" spans="1:16" ht="15" x14ac:dyDescent="0.25">
      <c r="A325" s="2" t="s">
        <v>330</v>
      </c>
      <c r="B325" s="2" t="s">
        <v>680</v>
      </c>
      <c r="C325" s="2" t="s">
        <v>706</v>
      </c>
      <c r="D325" s="2" t="s">
        <v>755</v>
      </c>
      <c r="E325" s="2">
        <v>17</v>
      </c>
      <c r="F325" s="2" t="str" cm="1">
        <f t="array" ref="F325">_xlfn.IFS(Table1[[#This Row],[Age]]&lt;=16,"15-16",Table1[[#This Row],[Age]]&lt;19,"17-18")</f>
        <v>17-18</v>
      </c>
      <c r="G325" s="2" t="s">
        <v>758</v>
      </c>
      <c r="H325" s="3">
        <v>0.51700000000000002</v>
      </c>
      <c r="I325" s="3">
        <v>0.81799999999999995</v>
      </c>
      <c r="J325" s="3" t="str" cm="1">
        <f t="array" ref="J325">_xlfn.IFS(Table1[[#This Row],[Overall Attendance]]&gt;=0.6,"Good",Table1[[#This Row],[Overall Attendance]]&lt;0.6,"Bad")</f>
        <v>Good</v>
      </c>
      <c r="K325" s="4">
        <v>276239</v>
      </c>
      <c r="L325" s="4">
        <f t="shared" si="10"/>
        <v>3314868</v>
      </c>
      <c r="M325" s="4" t="str" cm="1">
        <f t="array" ref="M32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25" s="2">
        <v>8.9</v>
      </c>
      <c r="O325" s="2" t="str" cm="1">
        <f t="array" ref="O325">_xlfn.IFS(Table1[[#This Row],[Distance to School (km)]]&gt;=5,"Far",Table1[[#This Row],[Distance to School (km)]]&lt;5,"Near")</f>
        <v>Far</v>
      </c>
      <c r="P325" s="5">
        <f t="shared" si="11"/>
        <v>0.33250000000000002</v>
      </c>
    </row>
    <row r="326" spans="1:16" ht="15" hidden="1" x14ac:dyDescent="0.25">
      <c r="A326" s="2" t="s">
        <v>331</v>
      </c>
      <c r="B326" s="2" t="s">
        <v>648</v>
      </c>
      <c r="C326" s="2" t="s">
        <v>723</v>
      </c>
      <c r="D326" s="2" t="s">
        <v>754</v>
      </c>
      <c r="E326" s="2">
        <v>16</v>
      </c>
      <c r="F326" s="2" t="str" cm="1">
        <f t="array" ref="F326">_xlfn.IFS(Table1[[#This Row],[Age]]&lt;=16,"15-16",Table1[[#This Row],[Age]]&lt;19,"17-18")</f>
        <v>15-16</v>
      </c>
      <c r="G326" s="2" t="s">
        <v>758</v>
      </c>
      <c r="H326" s="3">
        <v>0.75900000000000001</v>
      </c>
      <c r="I326" s="3">
        <v>0.81700000000000006</v>
      </c>
      <c r="J326" s="3" t="str" cm="1">
        <f t="array" ref="J326">_xlfn.IFS(Table1[[#This Row],[Overall Attendance]]&gt;=0.6,"Good",Table1[[#This Row],[Overall Attendance]]&lt;0.6,"Bad")</f>
        <v>Good</v>
      </c>
      <c r="K326" s="4">
        <v>44579</v>
      </c>
      <c r="L326" s="4">
        <f t="shared" si="10"/>
        <v>534948</v>
      </c>
      <c r="M326" s="4" t="str" cm="1">
        <f t="array" ref="M32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26" s="2">
        <v>3.1</v>
      </c>
      <c r="O326" s="2" t="str" cm="1">
        <f t="array" ref="O326">_xlfn.IFS(Table1[[#This Row],[Distance to School (km)]]&gt;=5,"Far",Table1[[#This Row],[Distance to School (km)]]&lt;5,"Near")</f>
        <v>Near</v>
      </c>
      <c r="P326" s="5">
        <f t="shared" si="11"/>
        <v>0.21199999999999997</v>
      </c>
    </row>
    <row r="327" spans="1:16" ht="15" hidden="1" x14ac:dyDescent="0.25">
      <c r="A327" s="2" t="s">
        <v>332</v>
      </c>
      <c r="B327" s="2" t="s">
        <v>671</v>
      </c>
      <c r="C327" s="2" t="s">
        <v>652</v>
      </c>
      <c r="D327" s="2" t="s">
        <v>747</v>
      </c>
      <c r="E327" s="2">
        <v>15</v>
      </c>
      <c r="F327" s="2" t="str" cm="1">
        <f t="array" ref="F327">_xlfn.IFS(Table1[[#This Row],[Age]]&lt;=16,"15-16",Table1[[#This Row],[Age]]&lt;19,"17-18")</f>
        <v>15-16</v>
      </c>
      <c r="G327" s="2" t="s">
        <v>757</v>
      </c>
      <c r="H327" s="3">
        <v>0.55899999999999994</v>
      </c>
      <c r="I327" s="3">
        <v>0.81900000000000006</v>
      </c>
      <c r="J327" s="3" t="str" cm="1">
        <f t="array" ref="J327">_xlfn.IFS(Table1[[#This Row],[Overall Attendance]]&gt;=0.6,"Good",Table1[[#This Row],[Overall Attendance]]&lt;0.6,"Bad")</f>
        <v>Good</v>
      </c>
      <c r="K327" s="4">
        <v>104898</v>
      </c>
      <c r="L327" s="4">
        <f t="shared" si="10"/>
        <v>1258776</v>
      </c>
      <c r="M327" s="4" t="str" cm="1">
        <f t="array" ref="M32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27" s="2">
        <v>9.4</v>
      </c>
      <c r="O327" s="2" t="str" cm="1">
        <f t="array" ref="O327">_xlfn.IFS(Table1[[#This Row],[Distance to School (km)]]&gt;=5,"Far",Table1[[#This Row],[Distance to School (km)]]&lt;5,"Near")</f>
        <v>Far</v>
      </c>
      <c r="P327" s="5">
        <f t="shared" si="11"/>
        <v>0.31099999999999994</v>
      </c>
    </row>
    <row r="328" spans="1:16" ht="15" x14ac:dyDescent="0.25">
      <c r="A328" s="2" t="s">
        <v>333</v>
      </c>
      <c r="B328" s="2" t="s">
        <v>680</v>
      </c>
      <c r="C328" s="2" t="s">
        <v>672</v>
      </c>
      <c r="D328" s="2" t="s">
        <v>641</v>
      </c>
      <c r="E328" s="2">
        <v>18</v>
      </c>
      <c r="F328" s="2" t="str" cm="1">
        <f t="array" ref="F328">_xlfn.IFS(Table1[[#This Row],[Age]]&lt;=16,"15-16",Table1[[#This Row],[Age]]&lt;19,"17-18")</f>
        <v>17-18</v>
      </c>
      <c r="G328" s="2" t="s">
        <v>757</v>
      </c>
      <c r="H328" s="3">
        <v>0.63900000000000001</v>
      </c>
      <c r="I328" s="3">
        <v>0.79299999999999993</v>
      </c>
      <c r="J328" s="3" t="str" cm="1">
        <f t="array" ref="J328">_xlfn.IFS(Table1[[#This Row],[Overall Attendance]]&gt;=0.6,"Good",Table1[[#This Row],[Overall Attendance]]&lt;0.6,"Bad")</f>
        <v>Good</v>
      </c>
      <c r="K328" s="4">
        <v>23794</v>
      </c>
      <c r="L328" s="4">
        <f t="shared" si="10"/>
        <v>285528</v>
      </c>
      <c r="M328" s="4" t="str" cm="1">
        <f t="array" ref="M32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28" s="2">
        <v>6.8</v>
      </c>
      <c r="O328" s="2" t="str" cm="1">
        <f t="array" ref="O328">_xlfn.IFS(Table1[[#This Row],[Distance to School (km)]]&gt;=5,"Far",Table1[[#This Row],[Distance to School (km)]]&lt;5,"Near")</f>
        <v>Far</v>
      </c>
      <c r="P328" s="5">
        <f t="shared" si="11"/>
        <v>0.28400000000000003</v>
      </c>
    </row>
    <row r="329" spans="1:16" ht="15" hidden="1" x14ac:dyDescent="0.25">
      <c r="A329" s="2" t="s">
        <v>334</v>
      </c>
      <c r="B329" s="2" t="s">
        <v>678</v>
      </c>
      <c r="C329" s="2" t="s">
        <v>699</v>
      </c>
      <c r="D329" s="2" t="s">
        <v>641</v>
      </c>
      <c r="E329" s="2">
        <v>15</v>
      </c>
      <c r="F329" s="2" t="str" cm="1">
        <f t="array" ref="F329">_xlfn.IFS(Table1[[#This Row],[Age]]&lt;=16,"15-16",Table1[[#This Row],[Age]]&lt;19,"17-18")</f>
        <v>15-16</v>
      </c>
      <c r="G329" s="2" t="s">
        <v>757</v>
      </c>
      <c r="H329" s="3">
        <v>0.745</v>
      </c>
      <c r="I329" s="3">
        <v>0.82599999999999996</v>
      </c>
      <c r="J329" s="3" t="str" cm="1">
        <f t="array" ref="J329">_xlfn.IFS(Table1[[#This Row],[Overall Attendance]]&gt;=0.6,"Good",Table1[[#This Row],[Overall Attendance]]&lt;0.6,"Bad")</f>
        <v>Good</v>
      </c>
      <c r="K329" s="4">
        <v>93417</v>
      </c>
      <c r="L329" s="4">
        <f t="shared" si="10"/>
        <v>1121004</v>
      </c>
      <c r="M329" s="4" t="str" cm="1">
        <f t="array" ref="M32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29" s="2">
        <v>5.3</v>
      </c>
      <c r="O329" s="2" t="str" cm="1">
        <f t="array" ref="O329">_xlfn.IFS(Table1[[#This Row],[Distance to School (km)]]&gt;=5,"Far",Table1[[#This Row],[Distance to School (km)]]&lt;5,"Near")</f>
        <v>Far</v>
      </c>
      <c r="P329" s="5">
        <f t="shared" si="11"/>
        <v>0.21450000000000002</v>
      </c>
    </row>
    <row r="330" spans="1:16" ht="15" x14ac:dyDescent="0.25">
      <c r="A330" s="2" t="s">
        <v>335</v>
      </c>
      <c r="B330" s="2" t="s">
        <v>661</v>
      </c>
      <c r="C330" s="2" t="s">
        <v>710</v>
      </c>
      <c r="D330" s="2" t="s">
        <v>743</v>
      </c>
      <c r="E330" s="2">
        <v>17</v>
      </c>
      <c r="F330" s="2" t="str" cm="1">
        <f t="array" ref="F330">_xlfn.IFS(Table1[[#This Row],[Age]]&lt;=16,"15-16",Table1[[#This Row],[Age]]&lt;19,"17-18")</f>
        <v>17-18</v>
      </c>
      <c r="G330" s="2" t="s">
        <v>757</v>
      </c>
      <c r="H330" s="3">
        <v>0.45600000000000002</v>
      </c>
      <c r="I330" s="3">
        <v>0.82200000000000006</v>
      </c>
      <c r="J330" s="3" t="str" cm="1">
        <f t="array" ref="J330">_xlfn.IFS(Table1[[#This Row],[Overall Attendance]]&gt;=0.6,"Good",Table1[[#This Row],[Overall Attendance]]&lt;0.6,"Bad")</f>
        <v>Good</v>
      </c>
      <c r="K330" s="4">
        <v>168570</v>
      </c>
      <c r="L330" s="4">
        <f t="shared" si="10"/>
        <v>2022840</v>
      </c>
      <c r="M330" s="4" t="str" cm="1">
        <f t="array" ref="M33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30" s="2">
        <v>8.6</v>
      </c>
      <c r="O330" s="2" t="str" cm="1">
        <f t="array" ref="O330">_xlfn.IFS(Table1[[#This Row],[Distance to School (km)]]&gt;=5,"Far",Table1[[#This Row],[Distance to School (km)]]&lt;5,"Near")</f>
        <v>Far</v>
      </c>
      <c r="P330" s="5">
        <f t="shared" si="11"/>
        <v>0.36099999999999999</v>
      </c>
    </row>
    <row r="331" spans="1:16" ht="15" hidden="1" x14ac:dyDescent="0.25">
      <c r="A331" s="2" t="s">
        <v>336</v>
      </c>
      <c r="B331" s="2" t="s">
        <v>669</v>
      </c>
      <c r="C331" s="2" t="s">
        <v>702</v>
      </c>
      <c r="D331" s="2" t="s">
        <v>753</v>
      </c>
      <c r="E331" s="2">
        <v>15</v>
      </c>
      <c r="F331" s="2" t="str" cm="1">
        <f t="array" ref="F331">_xlfn.IFS(Table1[[#This Row],[Age]]&lt;=16,"15-16",Table1[[#This Row],[Age]]&lt;19,"17-18")</f>
        <v>15-16</v>
      </c>
      <c r="G331" s="2" t="s">
        <v>757</v>
      </c>
      <c r="H331" s="3">
        <v>0.17</v>
      </c>
      <c r="I331" s="3">
        <v>0.3</v>
      </c>
      <c r="J331" s="3" t="str" cm="1">
        <f t="array" ref="J331">_xlfn.IFS(Table1[[#This Row],[Overall Attendance]]&gt;=0.6,"Good",Table1[[#This Row],[Overall Attendance]]&lt;0.6,"Bad")</f>
        <v>Bad</v>
      </c>
      <c r="K331" s="4">
        <v>35750</v>
      </c>
      <c r="L331" s="4">
        <f t="shared" si="10"/>
        <v>429000</v>
      </c>
      <c r="M331" s="4" t="str" cm="1">
        <f t="array" ref="M33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31" s="2">
        <v>8.1999999999999993</v>
      </c>
      <c r="O331" s="2" t="str" cm="1">
        <f t="array" ref="O331">_xlfn.IFS(Table1[[#This Row],[Distance to School (km)]]&gt;=5,"Far",Table1[[#This Row],[Distance to School (km)]]&lt;5,"Near")</f>
        <v>Far</v>
      </c>
      <c r="P331" s="5">
        <f t="shared" si="11"/>
        <v>0.76500000000000001</v>
      </c>
    </row>
    <row r="332" spans="1:16" ht="15" x14ac:dyDescent="0.25">
      <c r="A332" s="2" t="s">
        <v>337</v>
      </c>
      <c r="B332" s="2" t="s">
        <v>670</v>
      </c>
      <c r="C332" s="2" t="s">
        <v>706</v>
      </c>
      <c r="D332" s="2" t="s">
        <v>739</v>
      </c>
      <c r="E332" s="2">
        <v>17</v>
      </c>
      <c r="F332" s="2" t="str" cm="1">
        <f t="array" ref="F332">_xlfn.IFS(Table1[[#This Row],[Age]]&lt;=16,"15-16",Table1[[#This Row],[Age]]&lt;19,"17-18")</f>
        <v>17-18</v>
      </c>
      <c r="G332" s="2" t="s">
        <v>758</v>
      </c>
      <c r="H332" s="3">
        <v>0.42799999999999999</v>
      </c>
      <c r="I332" s="3">
        <v>0.80799999999999994</v>
      </c>
      <c r="J332" s="3" t="str" cm="1">
        <f t="array" ref="J332">_xlfn.IFS(Table1[[#This Row],[Overall Attendance]]&gt;=0.6,"Good",Table1[[#This Row],[Overall Attendance]]&lt;0.6,"Bad")</f>
        <v>Good</v>
      </c>
      <c r="K332" s="4">
        <v>260598</v>
      </c>
      <c r="L332" s="4">
        <f t="shared" si="10"/>
        <v>3127176</v>
      </c>
      <c r="M332" s="4" t="str" cm="1">
        <f t="array" ref="M33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32" s="2">
        <v>11.9</v>
      </c>
      <c r="O332" s="2" t="str" cm="1">
        <f t="array" ref="O332">_xlfn.IFS(Table1[[#This Row],[Distance to School (km)]]&gt;=5,"Far",Table1[[#This Row],[Distance to School (km)]]&lt;5,"Near")</f>
        <v>Far</v>
      </c>
      <c r="P332" s="5">
        <f t="shared" si="11"/>
        <v>0.38200000000000001</v>
      </c>
    </row>
    <row r="333" spans="1:16" ht="15" hidden="1" x14ac:dyDescent="0.25">
      <c r="A333" s="2" t="s">
        <v>338</v>
      </c>
      <c r="B333" s="2" t="s">
        <v>649</v>
      </c>
      <c r="C333" s="2" t="s">
        <v>697</v>
      </c>
      <c r="D333" s="2" t="s">
        <v>743</v>
      </c>
      <c r="E333" s="2">
        <v>15</v>
      </c>
      <c r="F333" s="2" t="str" cm="1">
        <f t="array" ref="F333">_xlfn.IFS(Table1[[#This Row],[Age]]&lt;=16,"15-16",Table1[[#This Row],[Age]]&lt;19,"17-18")</f>
        <v>15-16</v>
      </c>
      <c r="G333" s="2" t="s">
        <v>758</v>
      </c>
      <c r="H333" s="3">
        <v>0.71400000000000008</v>
      </c>
      <c r="I333" s="3">
        <v>0.63200000000000001</v>
      </c>
      <c r="J333" s="3" t="str" cm="1">
        <f t="array" ref="J333">_xlfn.IFS(Table1[[#This Row],[Overall Attendance]]&gt;=0.6,"Good",Table1[[#This Row],[Overall Attendance]]&lt;0.6,"Bad")</f>
        <v>Good</v>
      </c>
      <c r="K333" s="4">
        <v>147215</v>
      </c>
      <c r="L333" s="4">
        <f t="shared" si="10"/>
        <v>1766580</v>
      </c>
      <c r="M333" s="4" t="str" cm="1">
        <f t="array" ref="M33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33" s="2">
        <v>5.4</v>
      </c>
      <c r="O333" s="2" t="str" cm="1">
        <f t="array" ref="O333">_xlfn.IFS(Table1[[#This Row],[Distance to School (km)]]&gt;=5,"Far",Table1[[#This Row],[Distance to School (km)]]&lt;5,"Near")</f>
        <v>Far</v>
      </c>
      <c r="P333" s="5">
        <f t="shared" si="11"/>
        <v>0.32699999999999996</v>
      </c>
    </row>
    <row r="334" spans="1:16" ht="15" hidden="1" x14ac:dyDescent="0.25">
      <c r="A334" s="2" t="s">
        <v>339</v>
      </c>
      <c r="B334" s="2" t="s">
        <v>644</v>
      </c>
      <c r="C334" s="2" t="s">
        <v>715</v>
      </c>
      <c r="D334" s="2" t="s">
        <v>746</v>
      </c>
      <c r="E334" s="2">
        <v>15</v>
      </c>
      <c r="F334" s="2" t="str" cm="1">
        <f t="array" ref="F334">_xlfn.IFS(Table1[[#This Row],[Age]]&lt;=16,"15-16",Table1[[#This Row],[Age]]&lt;19,"17-18")</f>
        <v>15-16</v>
      </c>
      <c r="G334" s="2" t="s">
        <v>757</v>
      </c>
      <c r="H334" s="3">
        <v>0.72599999999999998</v>
      </c>
      <c r="I334" s="3">
        <v>0.70200000000000007</v>
      </c>
      <c r="J334" s="3" t="str" cm="1">
        <f t="array" ref="J334">_xlfn.IFS(Table1[[#This Row],[Overall Attendance]]&gt;=0.6,"Good",Table1[[#This Row],[Overall Attendance]]&lt;0.6,"Bad")</f>
        <v>Good</v>
      </c>
      <c r="K334" s="4">
        <v>146862</v>
      </c>
      <c r="L334" s="4">
        <f t="shared" si="10"/>
        <v>1762344</v>
      </c>
      <c r="M334" s="4" t="str" cm="1">
        <f t="array" ref="M33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34" s="2">
        <v>10.6</v>
      </c>
      <c r="O334" s="2" t="str" cm="1">
        <f t="array" ref="O334">_xlfn.IFS(Table1[[#This Row],[Distance to School (km)]]&gt;=5,"Far",Table1[[#This Row],[Distance to School (km)]]&lt;5,"Near")</f>
        <v>Far</v>
      </c>
      <c r="P334" s="5">
        <f t="shared" si="11"/>
        <v>0.28600000000000003</v>
      </c>
    </row>
    <row r="335" spans="1:16" ht="15" hidden="1" x14ac:dyDescent="0.25">
      <c r="A335" s="2" t="s">
        <v>340</v>
      </c>
      <c r="B335" s="2" t="s">
        <v>682</v>
      </c>
      <c r="C335" s="2" t="s">
        <v>711</v>
      </c>
      <c r="D335" s="2" t="s">
        <v>752</v>
      </c>
      <c r="E335" s="2">
        <v>16</v>
      </c>
      <c r="F335" s="2" t="str" cm="1">
        <f t="array" ref="F335">_xlfn.IFS(Table1[[#This Row],[Age]]&lt;=16,"15-16",Table1[[#This Row],[Age]]&lt;19,"17-18")</f>
        <v>15-16</v>
      </c>
      <c r="G335" s="2" t="s">
        <v>758</v>
      </c>
      <c r="H335" s="3">
        <v>0.71200000000000008</v>
      </c>
      <c r="I335" s="3">
        <v>0.8859999999999999</v>
      </c>
      <c r="J335" s="3" t="str" cm="1">
        <f t="array" ref="J335">_xlfn.IFS(Table1[[#This Row],[Overall Attendance]]&gt;=0.6,"Good",Table1[[#This Row],[Overall Attendance]]&lt;0.6,"Bad")</f>
        <v>Good</v>
      </c>
      <c r="K335" s="4">
        <v>380854</v>
      </c>
      <c r="L335" s="4">
        <f t="shared" si="10"/>
        <v>4570248</v>
      </c>
      <c r="M335" s="4" t="str" cm="1">
        <f t="array" ref="M33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35" s="2">
        <v>9.6999999999999993</v>
      </c>
      <c r="O335" s="2" t="str" cm="1">
        <f t="array" ref="O335">_xlfn.IFS(Table1[[#This Row],[Distance to School (km)]]&gt;=5,"Far",Table1[[#This Row],[Distance to School (km)]]&lt;5,"Near")</f>
        <v>Far</v>
      </c>
      <c r="P335" s="5">
        <f t="shared" si="11"/>
        <v>0.20100000000000007</v>
      </c>
    </row>
    <row r="336" spans="1:16" ht="15" x14ac:dyDescent="0.25">
      <c r="A336" s="2" t="s">
        <v>341</v>
      </c>
      <c r="B336" s="2" t="s">
        <v>649</v>
      </c>
      <c r="C336" s="2" t="s">
        <v>695</v>
      </c>
      <c r="D336" s="2" t="s">
        <v>752</v>
      </c>
      <c r="E336" s="2">
        <v>17</v>
      </c>
      <c r="F336" s="2" t="str" cm="1">
        <f t="array" ref="F336">_xlfn.IFS(Table1[[#This Row],[Age]]&lt;=16,"15-16",Table1[[#This Row],[Age]]&lt;19,"17-18")</f>
        <v>17-18</v>
      </c>
      <c r="G336" s="2" t="s">
        <v>757</v>
      </c>
      <c r="H336" s="3">
        <v>0.83</v>
      </c>
      <c r="I336" s="3">
        <v>0.95299999999999996</v>
      </c>
      <c r="J336" s="3" t="str" cm="1">
        <f t="array" ref="J336">_xlfn.IFS(Table1[[#This Row],[Overall Attendance]]&gt;=0.6,"Good",Table1[[#This Row],[Overall Attendance]]&lt;0.6,"Bad")</f>
        <v>Good</v>
      </c>
      <c r="K336" s="4">
        <v>787287</v>
      </c>
      <c r="L336" s="4">
        <f t="shared" si="10"/>
        <v>9447444</v>
      </c>
      <c r="M336" s="4" t="str" cm="1">
        <f t="array" ref="M336">_xlfn.IFS(Table1[[#This Row],[Family Income per Year]]&gt;=5000000,"High Income",Table1[[#This Row],[Family Income per Year]]&gt;=1000000,"Middle Income",Table1[[#This Row],[Family Income per Year]]&lt;1000000,"Low Income")</f>
        <v>High Income</v>
      </c>
      <c r="N336" s="2">
        <v>7.5</v>
      </c>
      <c r="O336" s="2" t="str" cm="1">
        <f t="array" ref="O336">_xlfn.IFS(Table1[[#This Row],[Distance to School (km)]]&gt;=5,"Far",Table1[[#This Row],[Distance to School (km)]]&lt;5,"Near")</f>
        <v>Far</v>
      </c>
      <c r="P336" s="5">
        <f t="shared" si="11"/>
        <v>0.10850000000000004</v>
      </c>
    </row>
    <row r="337" spans="1:16" ht="15" x14ac:dyDescent="0.25">
      <c r="A337" s="2" t="s">
        <v>342</v>
      </c>
      <c r="B337" s="2" t="s">
        <v>678</v>
      </c>
      <c r="C337" s="2" t="s">
        <v>715</v>
      </c>
      <c r="D337" s="2" t="s">
        <v>738</v>
      </c>
      <c r="E337" s="2">
        <v>17</v>
      </c>
      <c r="F337" s="2" t="str" cm="1">
        <f t="array" ref="F337">_xlfn.IFS(Table1[[#This Row],[Age]]&lt;=16,"15-16",Table1[[#This Row],[Age]]&lt;19,"17-18")</f>
        <v>17-18</v>
      </c>
      <c r="G337" s="2" t="s">
        <v>757</v>
      </c>
      <c r="H337" s="3">
        <v>0.68299999999999994</v>
      </c>
      <c r="I337" s="3">
        <v>0.81099999999999994</v>
      </c>
      <c r="J337" s="3" t="str" cm="1">
        <f t="array" ref="J337">_xlfn.IFS(Table1[[#This Row],[Overall Attendance]]&gt;=0.6,"Good",Table1[[#This Row],[Overall Attendance]]&lt;0.6,"Bad")</f>
        <v>Good</v>
      </c>
      <c r="K337" s="4">
        <v>35994</v>
      </c>
      <c r="L337" s="4">
        <f t="shared" si="10"/>
        <v>431928</v>
      </c>
      <c r="M337" s="4" t="str" cm="1">
        <f t="array" ref="M33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37" s="2">
        <v>1.2</v>
      </c>
      <c r="O337" s="2" t="str" cm="1">
        <f t="array" ref="O337">_xlfn.IFS(Table1[[#This Row],[Distance to School (km)]]&gt;=5,"Far",Table1[[#This Row],[Distance to School (km)]]&lt;5,"Near")</f>
        <v>Near</v>
      </c>
      <c r="P337" s="5">
        <f t="shared" si="11"/>
        <v>0.25300000000000011</v>
      </c>
    </row>
    <row r="338" spans="1:16" ht="15" hidden="1" x14ac:dyDescent="0.25">
      <c r="A338" s="2" t="s">
        <v>343</v>
      </c>
      <c r="B338" s="2" t="s">
        <v>678</v>
      </c>
      <c r="C338" s="2" t="s">
        <v>656</v>
      </c>
      <c r="D338" s="2" t="s">
        <v>756</v>
      </c>
      <c r="E338" s="2">
        <v>16</v>
      </c>
      <c r="F338" s="2" t="str" cm="1">
        <f t="array" ref="F338">_xlfn.IFS(Table1[[#This Row],[Age]]&lt;=16,"15-16",Table1[[#This Row],[Age]]&lt;19,"17-18")</f>
        <v>15-16</v>
      </c>
      <c r="G338" s="2" t="s">
        <v>757</v>
      </c>
      <c r="H338" s="3">
        <v>0.2</v>
      </c>
      <c r="I338" s="3">
        <v>0.49</v>
      </c>
      <c r="J338" s="3" t="str" cm="1">
        <f t="array" ref="J338">_xlfn.IFS(Table1[[#This Row],[Overall Attendance]]&gt;=0.6,"Good",Table1[[#This Row],[Overall Attendance]]&lt;0.6,"Bad")</f>
        <v>Bad</v>
      </c>
      <c r="K338" s="4">
        <v>38514</v>
      </c>
      <c r="L338" s="4">
        <f t="shared" si="10"/>
        <v>462168</v>
      </c>
      <c r="M338" s="4" t="str" cm="1">
        <f t="array" ref="M33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38" s="2">
        <v>5.5</v>
      </c>
      <c r="O338" s="2" t="str" cm="1">
        <f t="array" ref="O338">_xlfn.IFS(Table1[[#This Row],[Distance to School (km)]]&gt;=5,"Far",Table1[[#This Row],[Distance to School (km)]]&lt;5,"Near")</f>
        <v>Far</v>
      </c>
      <c r="P338" s="5">
        <f t="shared" si="11"/>
        <v>0.65500000000000003</v>
      </c>
    </row>
    <row r="339" spans="1:16" ht="15" hidden="1" x14ac:dyDescent="0.25">
      <c r="A339" s="2" t="s">
        <v>344</v>
      </c>
      <c r="B339" s="2" t="s">
        <v>663</v>
      </c>
      <c r="C339" s="2" t="s">
        <v>726</v>
      </c>
      <c r="D339" s="2" t="s">
        <v>668</v>
      </c>
      <c r="E339" s="2">
        <v>16</v>
      </c>
      <c r="F339" s="2" t="str" cm="1">
        <f t="array" ref="F339">_xlfn.IFS(Table1[[#This Row],[Age]]&lt;=16,"15-16",Table1[[#This Row],[Age]]&lt;19,"17-18")</f>
        <v>15-16</v>
      </c>
      <c r="G339" s="2" t="s">
        <v>758</v>
      </c>
      <c r="H339" s="3">
        <v>0.57700000000000007</v>
      </c>
      <c r="I339" s="3">
        <v>0.77599999999999991</v>
      </c>
      <c r="J339" s="3" t="str" cm="1">
        <f t="array" ref="J339">_xlfn.IFS(Table1[[#This Row],[Overall Attendance]]&gt;=0.6,"Good",Table1[[#This Row],[Overall Attendance]]&lt;0.6,"Bad")</f>
        <v>Good</v>
      </c>
      <c r="K339" s="4">
        <v>47080</v>
      </c>
      <c r="L339" s="4">
        <f t="shared" si="10"/>
        <v>564960</v>
      </c>
      <c r="M339" s="4" t="str" cm="1">
        <f t="array" ref="M33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39" s="2">
        <v>7.9</v>
      </c>
      <c r="O339" s="2" t="str" cm="1">
        <f t="array" ref="O339">_xlfn.IFS(Table1[[#This Row],[Distance to School (km)]]&gt;=5,"Far",Table1[[#This Row],[Distance to School (km)]]&lt;5,"Near")</f>
        <v>Far</v>
      </c>
      <c r="P339" s="5">
        <f t="shared" si="11"/>
        <v>0.32350000000000001</v>
      </c>
    </row>
    <row r="340" spans="1:16" ht="15" x14ac:dyDescent="0.25">
      <c r="A340" s="2" t="s">
        <v>345</v>
      </c>
      <c r="B340" s="2" t="s">
        <v>672</v>
      </c>
      <c r="C340" s="2" t="s">
        <v>716</v>
      </c>
      <c r="D340" s="2" t="s">
        <v>752</v>
      </c>
      <c r="E340" s="2">
        <v>18</v>
      </c>
      <c r="F340" s="2" t="str" cm="1">
        <f t="array" ref="F340">_xlfn.IFS(Table1[[#This Row],[Age]]&lt;=16,"15-16",Table1[[#This Row],[Age]]&lt;19,"17-18")</f>
        <v>17-18</v>
      </c>
      <c r="G340" s="2" t="s">
        <v>758</v>
      </c>
      <c r="H340" s="3">
        <v>0.74400000000000011</v>
      </c>
      <c r="I340" s="3">
        <v>0.873</v>
      </c>
      <c r="J340" s="3" t="str" cm="1">
        <f t="array" ref="J340">_xlfn.IFS(Table1[[#This Row],[Overall Attendance]]&gt;=0.6,"Good",Table1[[#This Row],[Overall Attendance]]&lt;0.6,"Bad")</f>
        <v>Good</v>
      </c>
      <c r="K340" s="4">
        <v>71686</v>
      </c>
      <c r="L340" s="4">
        <f t="shared" si="10"/>
        <v>860232</v>
      </c>
      <c r="M340" s="4" t="str" cm="1">
        <f t="array" ref="M34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40" s="2">
        <v>6.8</v>
      </c>
      <c r="O340" s="2" t="str" cm="1">
        <f t="array" ref="O340">_xlfn.IFS(Table1[[#This Row],[Distance to School (km)]]&gt;=5,"Far",Table1[[#This Row],[Distance to School (km)]]&lt;5,"Near")</f>
        <v>Far</v>
      </c>
      <c r="P340" s="5">
        <f t="shared" si="11"/>
        <v>0.1915</v>
      </c>
    </row>
    <row r="341" spans="1:16" ht="15" x14ac:dyDescent="0.25">
      <c r="A341" s="2" t="s">
        <v>346</v>
      </c>
      <c r="B341" s="2" t="s">
        <v>668</v>
      </c>
      <c r="C341" s="2" t="s">
        <v>711</v>
      </c>
      <c r="D341" s="2" t="s">
        <v>742</v>
      </c>
      <c r="E341" s="2">
        <v>18</v>
      </c>
      <c r="F341" s="2" t="str" cm="1">
        <f t="array" ref="F341">_xlfn.IFS(Table1[[#This Row],[Age]]&lt;=16,"15-16",Table1[[#This Row],[Age]]&lt;19,"17-18")</f>
        <v>17-18</v>
      </c>
      <c r="G341" s="2" t="s">
        <v>758</v>
      </c>
      <c r="H341" s="3">
        <v>0.41100000000000003</v>
      </c>
      <c r="I341" s="3">
        <v>0.86599999999999999</v>
      </c>
      <c r="J341" s="3" t="str" cm="1">
        <f t="array" ref="J341">_xlfn.IFS(Table1[[#This Row],[Overall Attendance]]&gt;=0.6,"Good",Table1[[#This Row],[Overall Attendance]]&lt;0.6,"Bad")</f>
        <v>Good</v>
      </c>
      <c r="K341" s="4">
        <v>165334</v>
      </c>
      <c r="L341" s="4">
        <f t="shared" si="10"/>
        <v>1984008</v>
      </c>
      <c r="M341" s="4" t="str" cm="1">
        <f t="array" ref="M34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41" s="2">
        <v>1.9</v>
      </c>
      <c r="O341" s="2" t="str" cm="1">
        <f t="array" ref="O341">_xlfn.IFS(Table1[[#This Row],[Distance to School (km)]]&gt;=5,"Far",Table1[[#This Row],[Distance to School (km)]]&lt;5,"Near")</f>
        <v>Near</v>
      </c>
      <c r="P341" s="5">
        <f t="shared" si="11"/>
        <v>0.36149999999999993</v>
      </c>
    </row>
    <row r="342" spans="1:16" ht="15" hidden="1" x14ac:dyDescent="0.25">
      <c r="A342" s="2" t="s">
        <v>347</v>
      </c>
      <c r="B342" s="2" t="s">
        <v>673</v>
      </c>
      <c r="C342" s="2" t="s">
        <v>731</v>
      </c>
      <c r="D342" s="2" t="s">
        <v>750</v>
      </c>
      <c r="E342" s="2">
        <v>16</v>
      </c>
      <c r="F342" s="2" t="str" cm="1">
        <f t="array" ref="F342">_xlfn.IFS(Table1[[#This Row],[Age]]&lt;=16,"15-16",Table1[[#This Row],[Age]]&lt;19,"17-18")</f>
        <v>15-16</v>
      </c>
      <c r="G342" s="2" t="s">
        <v>757</v>
      </c>
      <c r="H342" s="3">
        <v>0.76800000000000002</v>
      </c>
      <c r="I342" s="3">
        <v>0.84799999999999998</v>
      </c>
      <c r="J342" s="3" t="str" cm="1">
        <f t="array" ref="J342">_xlfn.IFS(Table1[[#This Row],[Overall Attendance]]&gt;=0.6,"Good",Table1[[#This Row],[Overall Attendance]]&lt;0.6,"Bad")</f>
        <v>Good</v>
      </c>
      <c r="K342" s="4">
        <v>179195</v>
      </c>
      <c r="L342" s="4">
        <f t="shared" si="10"/>
        <v>2150340</v>
      </c>
      <c r="M342" s="4" t="str" cm="1">
        <f t="array" ref="M34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42" s="2">
        <v>10.7</v>
      </c>
      <c r="O342" s="2" t="str" cm="1">
        <f t="array" ref="O342">_xlfn.IFS(Table1[[#This Row],[Distance to School (km)]]&gt;=5,"Far",Table1[[#This Row],[Distance to School (km)]]&lt;5,"Near")</f>
        <v>Far</v>
      </c>
      <c r="P342" s="5">
        <f t="shared" si="11"/>
        <v>0.19199999999999995</v>
      </c>
    </row>
    <row r="343" spans="1:16" ht="15" x14ac:dyDescent="0.25">
      <c r="A343" s="2" t="s">
        <v>348</v>
      </c>
      <c r="B343" s="2" t="s">
        <v>651</v>
      </c>
      <c r="C343" s="2" t="s">
        <v>722</v>
      </c>
      <c r="D343" s="2" t="s">
        <v>745</v>
      </c>
      <c r="E343" s="2">
        <v>17</v>
      </c>
      <c r="F343" s="2" t="str" cm="1">
        <f t="array" ref="F343">_xlfn.IFS(Table1[[#This Row],[Age]]&lt;=16,"15-16",Table1[[#This Row],[Age]]&lt;19,"17-18")</f>
        <v>17-18</v>
      </c>
      <c r="G343" s="2" t="s">
        <v>758</v>
      </c>
      <c r="H343" s="3">
        <v>0.71400000000000008</v>
      </c>
      <c r="I343" s="3">
        <v>0.64400000000000002</v>
      </c>
      <c r="J343" s="3" t="str" cm="1">
        <f t="array" ref="J343">_xlfn.IFS(Table1[[#This Row],[Overall Attendance]]&gt;=0.6,"Good",Table1[[#This Row],[Overall Attendance]]&lt;0.6,"Bad")</f>
        <v>Good</v>
      </c>
      <c r="K343" s="4">
        <v>357274</v>
      </c>
      <c r="L343" s="4">
        <f t="shared" si="10"/>
        <v>4287288</v>
      </c>
      <c r="M343" s="4" t="str" cm="1">
        <f t="array" ref="M34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43" s="2">
        <v>8.6999999999999993</v>
      </c>
      <c r="O343" s="2" t="str" cm="1">
        <f t="array" ref="O343">_xlfn.IFS(Table1[[#This Row],[Distance to School (km)]]&gt;=5,"Far",Table1[[#This Row],[Distance to School (km)]]&lt;5,"Near")</f>
        <v>Far</v>
      </c>
      <c r="P343" s="5">
        <f t="shared" si="11"/>
        <v>0.32099999999999995</v>
      </c>
    </row>
    <row r="344" spans="1:16" ht="15" hidden="1" x14ac:dyDescent="0.25">
      <c r="A344" s="2" t="s">
        <v>349</v>
      </c>
      <c r="B344" s="2" t="s">
        <v>680</v>
      </c>
      <c r="C344" s="2" t="s">
        <v>720</v>
      </c>
      <c r="D344" s="2" t="s">
        <v>739</v>
      </c>
      <c r="E344" s="2">
        <v>15</v>
      </c>
      <c r="F344" s="2" t="str" cm="1">
        <f t="array" ref="F344">_xlfn.IFS(Table1[[#This Row],[Age]]&lt;=16,"15-16",Table1[[#This Row],[Age]]&lt;19,"17-18")</f>
        <v>15-16</v>
      </c>
      <c r="G344" s="2" t="s">
        <v>758</v>
      </c>
      <c r="H344" s="3">
        <v>0.61599999999999999</v>
      </c>
      <c r="I344" s="3">
        <v>0.81400000000000006</v>
      </c>
      <c r="J344" s="3" t="str" cm="1">
        <f t="array" ref="J344">_xlfn.IFS(Table1[[#This Row],[Overall Attendance]]&gt;=0.6,"Good",Table1[[#This Row],[Overall Attendance]]&lt;0.6,"Bad")</f>
        <v>Good</v>
      </c>
      <c r="K344" s="4">
        <v>138271</v>
      </c>
      <c r="L344" s="4">
        <f t="shared" si="10"/>
        <v>1659252</v>
      </c>
      <c r="M344" s="4" t="str" cm="1">
        <f t="array" ref="M34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44" s="2">
        <v>8.6</v>
      </c>
      <c r="O344" s="2" t="str" cm="1">
        <f t="array" ref="O344">_xlfn.IFS(Table1[[#This Row],[Distance to School (km)]]&gt;=5,"Far",Table1[[#This Row],[Distance to School (km)]]&lt;5,"Near")</f>
        <v>Far</v>
      </c>
      <c r="P344" s="5">
        <f t="shared" si="11"/>
        <v>0.28499999999999992</v>
      </c>
    </row>
    <row r="345" spans="1:16" ht="15" x14ac:dyDescent="0.25">
      <c r="A345" s="2" t="s">
        <v>350</v>
      </c>
      <c r="B345" s="2" t="s">
        <v>648</v>
      </c>
      <c r="C345" s="2" t="s">
        <v>646</v>
      </c>
      <c r="D345" s="2" t="s">
        <v>646</v>
      </c>
      <c r="E345" s="2">
        <v>18</v>
      </c>
      <c r="F345" s="2" t="str" cm="1">
        <f t="array" ref="F345">_xlfn.IFS(Table1[[#This Row],[Age]]&lt;=16,"15-16",Table1[[#This Row],[Age]]&lt;19,"17-18")</f>
        <v>17-18</v>
      </c>
      <c r="G345" s="2" t="s">
        <v>757</v>
      </c>
      <c r="H345" s="3">
        <v>0.61399999999999999</v>
      </c>
      <c r="I345" s="3">
        <v>0.71799999999999997</v>
      </c>
      <c r="J345" s="3" t="str" cm="1">
        <f t="array" ref="J345">_xlfn.IFS(Table1[[#This Row],[Overall Attendance]]&gt;=0.6,"Good",Table1[[#This Row],[Overall Attendance]]&lt;0.6,"Bad")</f>
        <v>Good</v>
      </c>
      <c r="K345" s="4">
        <v>28332</v>
      </c>
      <c r="L345" s="4">
        <f t="shared" si="10"/>
        <v>339984</v>
      </c>
      <c r="M345" s="4" t="str" cm="1">
        <f t="array" ref="M34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45" s="2">
        <v>11.2</v>
      </c>
      <c r="O345" s="2" t="str" cm="1">
        <f t="array" ref="O345">_xlfn.IFS(Table1[[#This Row],[Distance to School (km)]]&gt;=5,"Far",Table1[[#This Row],[Distance to School (km)]]&lt;5,"Near")</f>
        <v>Far</v>
      </c>
      <c r="P345" s="5">
        <f t="shared" si="11"/>
        <v>0.33400000000000007</v>
      </c>
    </row>
    <row r="346" spans="1:16" ht="15" x14ac:dyDescent="0.25">
      <c r="A346" s="2" t="s">
        <v>351</v>
      </c>
      <c r="B346" s="2" t="s">
        <v>655</v>
      </c>
      <c r="C346" s="2" t="s">
        <v>690</v>
      </c>
      <c r="D346" s="2" t="s">
        <v>646</v>
      </c>
      <c r="E346" s="2">
        <v>18</v>
      </c>
      <c r="F346" s="2" t="str" cm="1">
        <f t="array" ref="F346">_xlfn.IFS(Table1[[#This Row],[Age]]&lt;=16,"15-16",Table1[[#This Row],[Age]]&lt;19,"17-18")</f>
        <v>17-18</v>
      </c>
      <c r="G346" s="2" t="s">
        <v>757</v>
      </c>
      <c r="H346" s="3">
        <v>0.51400000000000001</v>
      </c>
      <c r="I346" s="3">
        <v>0.96299999999999997</v>
      </c>
      <c r="J346" s="3" t="str" cm="1">
        <f t="array" ref="J346">_xlfn.IFS(Table1[[#This Row],[Overall Attendance]]&gt;=0.6,"Good",Table1[[#This Row],[Overall Attendance]]&lt;0.6,"Bad")</f>
        <v>Good</v>
      </c>
      <c r="K346" s="4">
        <v>21523</v>
      </c>
      <c r="L346" s="4">
        <f t="shared" si="10"/>
        <v>258276</v>
      </c>
      <c r="M346" s="4" t="str" cm="1">
        <f t="array" ref="M34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46" s="2">
        <v>9.4</v>
      </c>
      <c r="O346" s="2" t="str" cm="1">
        <f t="array" ref="O346">_xlfn.IFS(Table1[[#This Row],[Distance to School (km)]]&gt;=5,"Far",Table1[[#This Row],[Distance to School (km)]]&lt;5,"Near")</f>
        <v>Far</v>
      </c>
      <c r="P346" s="5">
        <f t="shared" si="11"/>
        <v>0.26150000000000007</v>
      </c>
    </row>
    <row r="347" spans="1:16" ht="15" x14ac:dyDescent="0.25">
      <c r="A347" s="2" t="s">
        <v>352</v>
      </c>
      <c r="B347" s="2" t="s">
        <v>657</v>
      </c>
      <c r="C347" s="2" t="s">
        <v>723</v>
      </c>
      <c r="D347" s="2" t="s">
        <v>756</v>
      </c>
      <c r="E347" s="2">
        <v>18</v>
      </c>
      <c r="F347" s="2" t="str" cm="1">
        <f t="array" ref="F347">_xlfn.IFS(Table1[[#This Row],[Age]]&lt;=16,"15-16",Table1[[#This Row],[Age]]&lt;19,"17-18")</f>
        <v>17-18</v>
      </c>
      <c r="G347" s="2" t="s">
        <v>758</v>
      </c>
      <c r="H347" s="3">
        <v>0.71400000000000008</v>
      </c>
      <c r="I347" s="3">
        <v>0.90799999999999992</v>
      </c>
      <c r="J347" s="3" t="str" cm="1">
        <f t="array" ref="J347">_xlfn.IFS(Table1[[#This Row],[Overall Attendance]]&gt;=0.6,"Good",Table1[[#This Row],[Overall Attendance]]&lt;0.6,"Bad")</f>
        <v>Good</v>
      </c>
      <c r="K347" s="4">
        <v>345025</v>
      </c>
      <c r="L347" s="4">
        <f t="shared" si="10"/>
        <v>4140300</v>
      </c>
      <c r="M347" s="4" t="str" cm="1">
        <f t="array" ref="M34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47" s="2">
        <v>10.1</v>
      </c>
      <c r="O347" s="2" t="str" cm="1">
        <f t="array" ref="O347">_xlfn.IFS(Table1[[#This Row],[Distance to School (km)]]&gt;=5,"Far",Table1[[#This Row],[Distance to School (km)]]&lt;5,"Near")</f>
        <v>Far</v>
      </c>
      <c r="P347" s="5">
        <f t="shared" si="11"/>
        <v>0.18900000000000006</v>
      </c>
    </row>
    <row r="348" spans="1:16" ht="15" x14ac:dyDescent="0.25">
      <c r="A348" s="2" t="s">
        <v>353</v>
      </c>
      <c r="B348" s="2" t="s">
        <v>657</v>
      </c>
      <c r="C348" s="2" t="s">
        <v>656</v>
      </c>
      <c r="D348" s="2" t="s">
        <v>752</v>
      </c>
      <c r="E348" s="2">
        <v>18</v>
      </c>
      <c r="F348" s="2" t="str" cm="1">
        <f t="array" ref="F348">_xlfn.IFS(Table1[[#This Row],[Age]]&lt;=16,"15-16",Table1[[#This Row],[Age]]&lt;19,"17-18")</f>
        <v>17-18</v>
      </c>
      <c r="G348" s="2" t="s">
        <v>757</v>
      </c>
      <c r="H348" s="3">
        <v>0.61199999999999999</v>
      </c>
      <c r="I348" s="3">
        <v>0.76800000000000002</v>
      </c>
      <c r="J348" s="3" t="str" cm="1">
        <f t="array" ref="J348">_xlfn.IFS(Table1[[#This Row],[Overall Attendance]]&gt;=0.6,"Good",Table1[[#This Row],[Overall Attendance]]&lt;0.6,"Bad")</f>
        <v>Good</v>
      </c>
      <c r="K348" s="4">
        <v>178715</v>
      </c>
      <c r="L348" s="4">
        <f t="shared" si="10"/>
        <v>2144580</v>
      </c>
      <c r="M348" s="4" t="str" cm="1">
        <f t="array" ref="M34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48" s="2">
        <v>6.3</v>
      </c>
      <c r="O348" s="2" t="str" cm="1">
        <f t="array" ref="O348">_xlfn.IFS(Table1[[#This Row],[Distance to School (km)]]&gt;=5,"Far",Table1[[#This Row],[Distance to School (km)]]&lt;5,"Near")</f>
        <v>Far</v>
      </c>
      <c r="P348" s="5">
        <f t="shared" si="11"/>
        <v>0.31000000000000005</v>
      </c>
    </row>
    <row r="349" spans="1:16" ht="15" x14ac:dyDescent="0.25">
      <c r="A349" s="2" t="s">
        <v>354</v>
      </c>
      <c r="B349" s="2" t="s">
        <v>668</v>
      </c>
      <c r="C349" s="2" t="s">
        <v>707</v>
      </c>
      <c r="D349" s="2" t="s">
        <v>741</v>
      </c>
      <c r="E349" s="2">
        <v>17</v>
      </c>
      <c r="F349" s="2" t="str" cm="1">
        <f t="array" ref="F349">_xlfn.IFS(Table1[[#This Row],[Age]]&lt;=16,"15-16",Table1[[#This Row],[Age]]&lt;19,"17-18")</f>
        <v>17-18</v>
      </c>
      <c r="G349" s="2" t="s">
        <v>758</v>
      </c>
      <c r="H349" s="3">
        <v>0.53200000000000003</v>
      </c>
      <c r="I349" s="3">
        <v>0.875</v>
      </c>
      <c r="J349" s="3" t="str" cm="1">
        <f t="array" ref="J349">_xlfn.IFS(Table1[[#This Row],[Overall Attendance]]&gt;=0.6,"Good",Table1[[#This Row],[Overall Attendance]]&lt;0.6,"Bad")</f>
        <v>Good</v>
      </c>
      <c r="K349" s="4">
        <v>236224</v>
      </c>
      <c r="L349" s="4">
        <f t="shared" si="10"/>
        <v>2834688</v>
      </c>
      <c r="M349" s="4" t="str" cm="1">
        <f t="array" ref="M34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49" s="2">
        <v>7.4</v>
      </c>
      <c r="O349" s="2" t="str" cm="1">
        <f t="array" ref="O349">_xlfn.IFS(Table1[[#This Row],[Distance to School (km)]]&gt;=5,"Far",Table1[[#This Row],[Distance to School (km)]]&lt;5,"Near")</f>
        <v>Far</v>
      </c>
      <c r="P349" s="5">
        <f t="shared" si="11"/>
        <v>0.29649999999999999</v>
      </c>
    </row>
    <row r="350" spans="1:16" ht="15" hidden="1" x14ac:dyDescent="0.25">
      <c r="A350" s="2" t="s">
        <v>355</v>
      </c>
      <c r="B350" s="2" t="s">
        <v>669</v>
      </c>
      <c r="C350" s="2" t="s">
        <v>713</v>
      </c>
      <c r="D350" s="2" t="s">
        <v>641</v>
      </c>
      <c r="E350" s="2">
        <v>16</v>
      </c>
      <c r="F350" s="2" t="str" cm="1">
        <f t="array" ref="F350">_xlfn.IFS(Table1[[#This Row],[Age]]&lt;=16,"15-16",Table1[[#This Row],[Age]]&lt;19,"17-18")</f>
        <v>15-16</v>
      </c>
      <c r="G350" s="2" t="s">
        <v>758</v>
      </c>
      <c r="H350" s="3">
        <v>0.63700000000000001</v>
      </c>
      <c r="I350" s="3">
        <v>0.88700000000000001</v>
      </c>
      <c r="J350" s="3" t="str" cm="1">
        <f t="array" ref="J350">_xlfn.IFS(Table1[[#This Row],[Overall Attendance]]&gt;=0.6,"Good",Table1[[#This Row],[Overall Attendance]]&lt;0.6,"Bad")</f>
        <v>Good</v>
      </c>
      <c r="K350" s="4">
        <v>69044</v>
      </c>
      <c r="L350" s="4">
        <f t="shared" si="10"/>
        <v>828528</v>
      </c>
      <c r="M350" s="4" t="str" cm="1">
        <f t="array" ref="M35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50" s="2">
        <v>11.8</v>
      </c>
      <c r="O350" s="2" t="str" cm="1">
        <f t="array" ref="O350">_xlfn.IFS(Table1[[#This Row],[Distance to School (km)]]&gt;=5,"Far",Table1[[#This Row],[Distance to School (km)]]&lt;5,"Near")</f>
        <v>Far</v>
      </c>
      <c r="P350" s="5">
        <f t="shared" si="11"/>
        <v>0.23799999999999999</v>
      </c>
    </row>
    <row r="351" spans="1:16" ht="15" x14ac:dyDescent="0.25">
      <c r="A351" s="2" t="s">
        <v>356</v>
      </c>
      <c r="B351" s="2" t="s">
        <v>661</v>
      </c>
      <c r="C351" s="2" t="s">
        <v>713</v>
      </c>
      <c r="D351" s="2" t="s">
        <v>739</v>
      </c>
      <c r="E351" s="2">
        <v>18</v>
      </c>
      <c r="F351" s="2" t="str" cm="1">
        <f t="array" ref="F351">_xlfn.IFS(Table1[[#This Row],[Age]]&lt;=16,"15-16",Table1[[#This Row],[Age]]&lt;19,"17-18")</f>
        <v>17-18</v>
      </c>
      <c r="G351" s="2" t="s">
        <v>758</v>
      </c>
      <c r="H351" s="3">
        <v>0.3</v>
      </c>
      <c r="I351" s="3">
        <v>0.3</v>
      </c>
      <c r="J351" s="3" t="str" cm="1">
        <f t="array" ref="J351">_xlfn.IFS(Table1[[#This Row],[Overall Attendance]]&gt;=0.6,"Good",Table1[[#This Row],[Overall Attendance]]&lt;0.6,"Bad")</f>
        <v>Bad</v>
      </c>
      <c r="K351" s="4">
        <v>193078</v>
      </c>
      <c r="L351" s="4">
        <f t="shared" si="10"/>
        <v>2316936</v>
      </c>
      <c r="M351" s="4" t="str" cm="1">
        <f t="array" ref="M35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51" s="2">
        <v>10.6</v>
      </c>
      <c r="O351" s="2" t="str" cm="1">
        <f t="array" ref="O351">_xlfn.IFS(Table1[[#This Row],[Distance to School (km)]]&gt;=5,"Far",Table1[[#This Row],[Distance to School (km)]]&lt;5,"Near")</f>
        <v>Far</v>
      </c>
      <c r="P351" s="5">
        <f t="shared" si="11"/>
        <v>0.7</v>
      </c>
    </row>
    <row r="352" spans="1:16" ht="15" x14ac:dyDescent="0.25">
      <c r="A352" s="2" t="s">
        <v>357</v>
      </c>
      <c r="B352" s="2" t="s">
        <v>680</v>
      </c>
      <c r="C352" s="2" t="s">
        <v>730</v>
      </c>
      <c r="D352" s="2" t="s">
        <v>746</v>
      </c>
      <c r="E352" s="2">
        <v>17</v>
      </c>
      <c r="F352" s="2" t="str" cm="1">
        <f t="array" ref="F352">_xlfn.IFS(Table1[[#This Row],[Age]]&lt;=16,"15-16",Table1[[#This Row],[Age]]&lt;19,"17-18")</f>
        <v>17-18</v>
      </c>
      <c r="G352" s="2" t="s">
        <v>757</v>
      </c>
      <c r="H352" s="3">
        <v>0.59099999999999997</v>
      </c>
      <c r="I352" s="3">
        <v>0.84200000000000008</v>
      </c>
      <c r="J352" s="3" t="str" cm="1">
        <f t="array" ref="J352">_xlfn.IFS(Table1[[#This Row],[Overall Attendance]]&gt;=0.6,"Good",Table1[[#This Row],[Overall Attendance]]&lt;0.6,"Bad")</f>
        <v>Good</v>
      </c>
      <c r="K352" s="4">
        <v>63101</v>
      </c>
      <c r="L352" s="4">
        <f t="shared" si="10"/>
        <v>757212</v>
      </c>
      <c r="M352" s="4" t="str" cm="1">
        <f t="array" ref="M35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52" s="2">
        <v>11.8</v>
      </c>
      <c r="O352" s="2" t="str" cm="1">
        <f t="array" ref="O352">_xlfn.IFS(Table1[[#This Row],[Distance to School (km)]]&gt;=5,"Far",Table1[[#This Row],[Distance to School (km)]]&lt;5,"Near")</f>
        <v>Far</v>
      </c>
      <c r="P352" s="5">
        <f t="shared" si="11"/>
        <v>0.28349999999999997</v>
      </c>
    </row>
    <row r="353" spans="1:16" ht="15" hidden="1" x14ac:dyDescent="0.25">
      <c r="A353" s="2" t="s">
        <v>358</v>
      </c>
      <c r="B353" s="2" t="s">
        <v>649</v>
      </c>
      <c r="C353" s="2" t="s">
        <v>708</v>
      </c>
      <c r="D353" s="2" t="s">
        <v>646</v>
      </c>
      <c r="E353" s="2">
        <v>16</v>
      </c>
      <c r="F353" s="2" t="str" cm="1">
        <f t="array" ref="F353">_xlfn.IFS(Table1[[#This Row],[Age]]&lt;=16,"15-16",Table1[[#This Row],[Age]]&lt;19,"17-18")</f>
        <v>15-16</v>
      </c>
      <c r="G353" s="2" t="s">
        <v>757</v>
      </c>
      <c r="H353" s="3">
        <v>0.63700000000000001</v>
      </c>
      <c r="I353" s="3">
        <v>0.754</v>
      </c>
      <c r="J353" s="3" t="str" cm="1">
        <f t="array" ref="J353">_xlfn.IFS(Table1[[#This Row],[Overall Attendance]]&gt;=0.6,"Good",Table1[[#This Row],[Overall Attendance]]&lt;0.6,"Bad")</f>
        <v>Good</v>
      </c>
      <c r="K353" s="4">
        <v>37733</v>
      </c>
      <c r="L353" s="4">
        <f t="shared" si="10"/>
        <v>452796</v>
      </c>
      <c r="M353" s="4" t="str" cm="1">
        <f t="array" ref="M35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53" s="2">
        <v>7.6</v>
      </c>
      <c r="O353" s="2" t="str" cm="1">
        <f t="array" ref="O353">_xlfn.IFS(Table1[[#This Row],[Distance to School (km)]]&gt;=5,"Far",Table1[[#This Row],[Distance to School (km)]]&lt;5,"Near")</f>
        <v>Far</v>
      </c>
      <c r="P353" s="5">
        <f t="shared" si="11"/>
        <v>0.30449999999999999</v>
      </c>
    </row>
    <row r="354" spans="1:16" ht="15" hidden="1" x14ac:dyDescent="0.25">
      <c r="A354" s="2" t="s">
        <v>359</v>
      </c>
      <c r="B354" s="2" t="s">
        <v>642</v>
      </c>
      <c r="C354" s="2" t="s">
        <v>696</v>
      </c>
      <c r="D354" s="2" t="s">
        <v>646</v>
      </c>
      <c r="E354" s="2">
        <v>15</v>
      </c>
      <c r="F354" s="2" t="str" cm="1">
        <f t="array" ref="F354">_xlfn.IFS(Table1[[#This Row],[Age]]&lt;=16,"15-16",Table1[[#This Row],[Age]]&lt;19,"17-18")</f>
        <v>15-16</v>
      </c>
      <c r="G354" s="2" t="s">
        <v>758</v>
      </c>
      <c r="H354" s="3">
        <v>0.57799999999999996</v>
      </c>
      <c r="I354" s="3">
        <v>0.96400000000000008</v>
      </c>
      <c r="J354" s="3" t="str" cm="1">
        <f t="array" ref="J354">_xlfn.IFS(Table1[[#This Row],[Overall Attendance]]&gt;=0.6,"Good",Table1[[#This Row],[Overall Attendance]]&lt;0.6,"Bad")</f>
        <v>Good</v>
      </c>
      <c r="K354" s="4">
        <v>154601</v>
      </c>
      <c r="L354" s="4">
        <f t="shared" si="10"/>
        <v>1855212</v>
      </c>
      <c r="M354" s="4" t="str" cm="1">
        <f t="array" ref="M35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54" s="2">
        <v>11.6</v>
      </c>
      <c r="O354" s="2" t="str" cm="1">
        <f t="array" ref="O354">_xlfn.IFS(Table1[[#This Row],[Distance to School (km)]]&gt;=5,"Far",Table1[[#This Row],[Distance to School (km)]]&lt;5,"Near")</f>
        <v>Far</v>
      </c>
      <c r="P354" s="5">
        <f t="shared" si="11"/>
        <v>0.22899999999999998</v>
      </c>
    </row>
    <row r="355" spans="1:16" ht="15" hidden="1" x14ac:dyDescent="0.25">
      <c r="A355" s="2" t="s">
        <v>360</v>
      </c>
      <c r="B355" s="2" t="s">
        <v>665</v>
      </c>
      <c r="C355" s="2" t="s">
        <v>652</v>
      </c>
      <c r="D355" s="2" t="s">
        <v>740</v>
      </c>
      <c r="E355" s="2">
        <v>16</v>
      </c>
      <c r="F355" s="2" t="str" cm="1">
        <f t="array" ref="F355">_xlfn.IFS(Table1[[#This Row],[Age]]&lt;=16,"15-16",Table1[[#This Row],[Age]]&lt;19,"17-18")</f>
        <v>15-16</v>
      </c>
      <c r="G355" s="2" t="s">
        <v>757</v>
      </c>
      <c r="H355" s="3">
        <v>0.46799999999999997</v>
      </c>
      <c r="I355" s="3">
        <v>0.7</v>
      </c>
      <c r="J355" s="3" t="str" cm="1">
        <f t="array" ref="J355">_xlfn.IFS(Table1[[#This Row],[Overall Attendance]]&gt;=0.6,"Good",Table1[[#This Row],[Overall Attendance]]&lt;0.6,"Bad")</f>
        <v>Good</v>
      </c>
      <c r="K355" s="4">
        <v>129564</v>
      </c>
      <c r="L355" s="4">
        <f t="shared" si="10"/>
        <v>1554768</v>
      </c>
      <c r="M355" s="4" t="str" cm="1">
        <f t="array" ref="M35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55" s="2">
        <v>9.1999999999999993</v>
      </c>
      <c r="O355" s="2" t="str" cm="1">
        <f t="array" ref="O355">_xlfn.IFS(Table1[[#This Row],[Distance to School (km)]]&gt;=5,"Far",Table1[[#This Row],[Distance to School (km)]]&lt;5,"Near")</f>
        <v>Far</v>
      </c>
      <c r="P355" s="5">
        <f t="shared" si="11"/>
        <v>0.41600000000000004</v>
      </c>
    </row>
    <row r="356" spans="1:16" ht="15" x14ac:dyDescent="0.25">
      <c r="A356" s="2" t="s">
        <v>361</v>
      </c>
      <c r="B356" s="2" t="s">
        <v>674</v>
      </c>
      <c r="C356" s="2" t="s">
        <v>710</v>
      </c>
      <c r="D356" s="2" t="s">
        <v>752</v>
      </c>
      <c r="E356" s="2">
        <v>17</v>
      </c>
      <c r="F356" s="2" t="str" cm="1">
        <f t="array" ref="F356">_xlfn.IFS(Table1[[#This Row],[Age]]&lt;=16,"15-16",Table1[[#This Row],[Age]]&lt;19,"17-18")</f>
        <v>17-18</v>
      </c>
      <c r="G356" s="2" t="s">
        <v>757</v>
      </c>
      <c r="H356" s="3">
        <v>0.66700000000000004</v>
      </c>
      <c r="I356" s="3">
        <v>0.81599999999999995</v>
      </c>
      <c r="J356" s="3" t="str" cm="1">
        <f t="array" ref="J356">_xlfn.IFS(Table1[[#This Row],[Overall Attendance]]&gt;=0.6,"Good",Table1[[#This Row],[Overall Attendance]]&lt;0.6,"Bad")</f>
        <v>Good</v>
      </c>
      <c r="K356" s="4">
        <v>231288</v>
      </c>
      <c r="L356" s="4">
        <f t="shared" si="10"/>
        <v>2775456</v>
      </c>
      <c r="M356" s="4" t="str" cm="1">
        <f t="array" ref="M35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56" s="2">
        <v>1</v>
      </c>
      <c r="O356" s="2" t="str" cm="1">
        <f t="array" ref="O356">_xlfn.IFS(Table1[[#This Row],[Distance to School (km)]]&gt;=5,"Far",Table1[[#This Row],[Distance to School (km)]]&lt;5,"Near")</f>
        <v>Near</v>
      </c>
      <c r="P356" s="5">
        <f t="shared" si="11"/>
        <v>0.25849999999999995</v>
      </c>
    </row>
    <row r="357" spans="1:16" ht="15" hidden="1" x14ac:dyDescent="0.25">
      <c r="A357" s="2" t="s">
        <v>362</v>
      </c>
      <c r="B357" s="2" t="s">
        <v>643</v>
      </c>
      <c r="C357" s="2" t="s">
        <v>706</v>
      </c>
      <c r="D357" s="2" t="s">
        <v>747</v>
      </c>
      <c r="E357" s="2">
        <v>15</v>
      </c>
      <c r="F357" s="2" t="str" cm="1">
        <f t="array" ref="F357">_xlfn.IFS(Table1[[#This Row],[Age]]&lt;=16,"15-16",Table1[[#This Row],[Age]]&lt;19,"17-18")</f>
        <v>15-16</v>
      </c>
      <c r="G357" s="2" t="s">
        <v>758</v>
      </c>
      <c r="H357" s="3">
        <v>0.627</v>
      </c>
      <c r="I357" s="3">
        <v>0.81099999999999994</v>
      </c>
      <c r="J357" s="3" t="str" cm="1">
        <f t="array" ref="J357">_xlfn.IFS(Table1[[#This Row],[Overall Attendance]]&gt;=0.6,"Good",Table1[[#This Row],[Overall Attendance]]&lt;0.6,"Bad")</f>
        <v>Good</v>
      </c>
      <c r="K357" s="4">
        <v>96511</v>
      </c>
      <c r="L357" s="4">
        <f t="shared" si="10"/>
        <v>1158132</v>
      </c>
      <c r="M357" s="4" t="str" cm="1">
        <f t="array" ref="M35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57" s="2">
        <v>11.2</v>
      </c>
      <c r="O357" s="2" t="str" cm="1">
        <f t="array" ref="O357">_xlfn.IFS(Table1[[#This Row],[Distance to School (km)]]&gt;=5,"Far",Table1[[#This Row],[Distance to School (km)]]&lt;5,"Near")</f>
        <v>Far</v>
      </c>
      <c r="P357" s="5">
        <f t="shared" si="11"/>
        <v>0.28100000000000003</v>
      </c>
    </row>
    <row r="358" spans="1:16" ht="15" hidden="1" x14ac:dyDescent="0.25">
      <c r="A358" s="2" t="s">
        <v>363</v>
      </c>
      <c r="B358" s="2" t="s">
        <v>675</v>
      </c>
      <c r="C358" s="2" t="s">
        <v>719</v>
      </c>
      <c r="D358" s="2" t="s">
        <v>712</v>
      </c>
      <c r="E358" s="2">
        <v>16</v>
      </c>
      <c r="F358" s="2" t="str" cm="1">
        <f t="array" ref="F358">_xlfn.IFS(Table1[[#This Row],[Age]]&lt;=16,"15-16",Table1[[#This Row],[Age]]&lt;19,"17-18")</f>
        <v>15-16</v>
      </c>
      <c r="G358" s="2" t="s">
        <v>758</v>
      </c>
      <c r="H358" s="3">
        <v>0.48799999999999999</v>
      </c>
      <c r="I358" s="3">
        <v>0.95599999999999996</v>
      </c>
      <c r="J358" s="3" t="str" cm="1">
        <f t="array" ref="J358">_xlfn.IFS(Table1[[#This Row],[Overall Attendance]]&gt;=0.6,"Good",Table1[[#This Row],[Overall Attendance]]&lt;0.6,"Bad")</f>
        <v>Good</v>
      </c>
      <c r="K358" s="4">
        <v>30415</v>
      </c>
      <c r="L358" s="4">
        <f t="shared" si="10"/>
        <v>364980</v>
      </c>
      <c r="M358" s="4" t="str" cm="1">
        <f t="array" ref="M35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58" s="2">
        <v>9.5</v>
      </c>
      <c r="O358" s="2" t="str" cm="1">
        <f t="array" ref="O358">_xlfn.IFS(Table1[[#This Row],[Distance to School (km)]]&gt;=5,"Far",Table1[[#This Row],[Distance to School (km)]]&lt;5,"Near")</f>
        <v>Far</v>
      </c>
      <c r="P358" s="5">
        <f t="shared" si="11"/>
        <v>0.27800000000000002</v>
      </c>
    </row>
    <row r="359" spans="1:16" ht="15" x14ac:dyDescent="0.25">
      <c r="A359" s="2" t="s">
        <v>364</v>
      </c>
      <c r="B359" s="2" t="s">
        <v>656</v>
      </c>
      <c r="C359" s="2" t="s">
        <v>694</v>
      </c>
      <c r="D359" s="2" t="s">
        <v>755</v>
      </c>
      <c r="E359" s="2">
        <v>18</v>
      </c>
      <c r="F359" s="2" t="str" cm="1">
        <f t="array" ref="F359">_xlfn.IFS(Table1[[#This Row],[Age]]&lt;=16,"15-16",Table1[[#This Row],[Age]]&lt;19,"17-18")</f>
        <v>17-18</v>
      </c>
      <c r="G359" s="2" t="s">
        <v>758</v>
      </c>
      <c r="H359" s="3">
        <v>0.69099999999999995</v>
      </c>
      <c r="I359" s="3">
        <v>0.8590000000000001</v>
      </c>
      <c r="J359" s="3" t="str" cm="1">
        <f t="array" ref="J359">_xlfn.IFS(Table1[[#This Row],[Overall Attendance]]&gt;=0.6,"Good",Table1[[#This Row],[Overall Attendance]]&lt;0.6,"Bad")</f>
        <v>Good</v>
      </c>
      <c r="K359" s="4">
        <v>143501</v>
      </c>
      <c r="L359" s="4">
        <f t="shared" si="10"/>
        <v>1722012</v>
      </c>
      <c r="M359" s="4" t="str" cm="1">
        <f t="array" ref="M35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59" s="2">
        <v>3.9</v>
      </c>
      <c r="O359" s="2" t="str" cm="1">
        <f t="array" ref="O359">_xlfn.IFS(Table1[[#This Row],[Distance to School (km)]]&gt;=5,"Far",Table1[[#This Row],[Distance to School (km)]]&lt;5,"Near")</f>
        <v>Near</v>
      </c>
      <c r="P359" s="5">
        <f t="shared" si="11"/>
        <v>0.22499999999999998</v>
      </c>
    </row>
    <row r="360" spans="1:16" ht="15" hidden="1" x14ac:dyDescent="0.25">
      <c r="A360" s="2" t="s">
        <v>365</v>
      </c>
      <c r="B360" s="2" t="s">
        <v>663</v>
      </c>
      <c r="C360" s="2" t="s">
        <v>731</v>
      </c>
      <c r="D360" s="2" t="s">
        <v>749</v>
      </c>
      <c r="E360" s="2">
        <v>15</v>
      </c>
      <c r="F360" s="2" t="str" cm="1">
        <f t="array" ref="F360">_xlfn.IFS(Table1[[#This Row],[Age]]&lt;=16,"15-16",Table1[[#This Row],[Age]]&lt;19,"17-18")</f>
        <v>15-16</v>
      </c>
      <c r="G360" s="2" t="s">
        <v>757</v>
      </c>
      <c r="H360" s="3">
        <v>0.375</v>
      </c>
      <c r="I360" s="3">
        <v>0.89300000000000002</v>
      </c>
      <c r="J360" s="3" t="str" cm="1">
        <f t="array" ref="J360">_xlfn.IFS(Table1[[#This Row],[Overall Attendance]]&gt;=0.6,"Good",Table1[[#This Row],[Overall Attendance]]&lt;0.6,"Bad")</f>
        <v>Good</v>
      </c>
      <c r="K360" s="4">
        <v>131959</v>
      </c>
      <c r="L360" s="4">
        <f t="shared" si="10"/>
        <v>1583508</v>
      </c>
      <c r="M360" s="4" t="str" cm="1">
        <f t="array" ref="M36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60" s="2">
        <v>4.9000000000000004</v>
      </c>
      <c r="O360" s="2" t="str" cm="1">
        <f t="array" ref="O360">_xlfn.IFS(Table1[[#This Row],[Distance to School (km)]]&gt;=5,"Far",Table1[[#This Row],[Distance to School (km)]]&lt;5,"Near")</f>
        <v>Near</v>
      </c>
      <c r="P360" s="5">
        <f t="shared" si="11"/>
        <v>0.36599999999999999</v>
      </c>
    </row>
    <row r="361" spans="1:16" ht="15" x14ac:dyDescent="0.25">
      <c r="A361" s="2" t="s">
        <v>366</v>
      </c>
      <c r="B361" s="2" t="s">
        <v>656</v>
      </c>
      <c r="C361" s="2" t="s">
        <v>704</v>
      </c>
      <c r="D361" s="2" t="s">
        <v>738</v>
      </c>
      <c r="E361" s="2">
        <v>17</v>
      </c>
      <c r="F361" s="2" t="str" cm="1">
        <f t="array" ref="F361">_xlfn.IFS(Table1[[#This Row],[Age]]&lt;=16,"15-16",Table1[[#This Row],[Age]]&lt;19,"17-18")</f>
        <v>17-18</v>
      </c>
      <c r="G361" s="2" t="s">
        <v>758</v>
      </c>
      <c r="H361" s="3">
        <v>0.27</v>
      </c>
      <c r="I361" s="3">
        <v>0.31</v>
      </c>
      <c r="J361" s="3" t="str" cm="1">
        <f t="array" ref="J361">_xlfn.IFS(Table1[[#This Row],[Overall Attendance]]&gt;=0.6,"Good",Table1[[#This Row],[Overall Attendance]]&lt;0.6,"Bad")</f>
        <v>Bad</v>
      </c>
      <c r="K361" s="4">
        <v>333362</v>
      </c>
      <c r="L361" s="4">
        <f t="shared" si="10"/>
        <v>4000344</v>
      </c>
      <c r="M361" s="4" t="str" cm="1">
        <f t="array" ref="M36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61" s="2">
        <v>6.1</v>
      </c>
      <c r="O361" s="2" t="str" cm="1">
        <f t="array" ref="O361">_xlfn.IFS(Table1[[#This Row],[Distance to School (km)]]&gt;=5,"Far",Table1[[#This Row],[Distance to School (km)]]&lt;5,"Near")</f>
        <v>Far</v>
      </c>
      <c r="P361" s="5">
        <f t="shared" si="11"/>
        <v>0.71</v>
      </c>
    </row>
    <row r="362" spans="1:16" ht="15" hidden="1" x14ac:dyDescent="0.25">
      <c r="A362" s="2" t="s">
        <v>367</v>
      </c>
      <c r="B362" s="2" t="s">
        <v>642</v>
      </c>
      <c r="C362" s="2" t="s">
        <v>735</v>
      </c>
      <c r="D362" s="2" t="s">
        <v>742</v>
      </c>
      <c r="E362" s="2">
        <v>16</v>
      </c>
      <c r="F362" s="2" t="str" cm="1">
        <f t="array" ref="F362">_xlfn.IFS(Table1[[#This Row],[Age]]&lt;=16,"15-16",Table1[[#This Row],[Age]]&lt;19,"17-18")</f>
        <v>15-16</v>
      </c>
      <c r="G362" s="2" t="s">
        <v>757</v>
      </c>
      <c r="H362" s="3">
        <v>0.68900000000000006</v>
      </c>
      <c r="I362" s="3">
        <v>0.80099999999999993</v>
      </c>
      <c r="J362" s="3" t="str" cm="1">
        <f t="array" ref="J362">_xlfn.IFS(Table1[[#This Row],[Overall Attendance]]&gt;=0.6,"Good",Table1[[#This Row],[Overall Attendance]]&lt;0.6,"Bad")</f>
        <v>Good</v>
      </c>
      <c r="K362" s="4">
        <v>45340</v>
      </c>
      <c r="L362" s="4">
        <f t="shared" si="10"/>
        <v>544080</v>
      </c>
      <c r="M362" s="4" t="str" cm="1">
        <f t="array" ref="M36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62" s="2">
        <v>2.9</v>
      </c>
      <c r="O362" s="2" t="str" cm="1">
        <f t="array" ref="O362">_xlfn.IFS(Table1[[#This Row],[Distance to School (km)]]&gt;=5,"Far",Table1[[#This Row],[Distance to School (km)]]&lt;5,"Near")</f>
        <v>Near</v>
      </c>
      <c r="P362" s="5">
        <f t="shared" si="11"/>
        <v>0.255</v>
      </c>
    </row>
    <row r="363" spans="1:16" ht="15" x14ac:dyDescent="0.25">
      <c r="A363" s="2" t="s">
        <v>368</v>
      </c>
      <c r="B363" s="2" t="s">
        <v>680</v>
      </c>
      <c r="C363" s="2" t="s">
        <v>711</v>
      </c>
      <c r="D363" s="2" t="s">
        <v>740</v>
      </c>
      <c r="E363" s="2">
        <v>17</v>
      </c>
      <c r="F363" s="2" t="str" cm="1">
        <f t="array" ref="F363">_xlfn.IFS(Table1[[#This Row],[Age]]&lt;=16,"15-16",Table1[[#This Row],[Age]]&lt;19,"17-18")</f>
        <v>17-18</v>
      </c>
      <c r="G363" s="2" t="s">
        <v>758</v>
      </c>
      <c r="H363" s="3">
        <v>0.43799999999999994</v>
      </c>
      <c r="I363" s="3">
        <v>0.78299999999999992</v>
      </c>
      <c r="J363" s="3" t="str" cm="1">
        <f t="array" ref="J363">_xlfn.IFS(Table1[[#This Row],[Overall Attendance]]&gt;=0.6,"Good",Table1[[#This Row],[Overall Attendance]]&lt;0.6,"Bad")</f>
        <v>Good</v>
      </c>
      <c r="K363" s="4">
        <v>78524</v>
      </c>
      <c r="L363" s="4">
        <f t="shared" si="10"/>
        <v>942288</v>
      </c>
      <c r="M363" s="4" t="str" cm="1">
        <f t="array" ref="M36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63" s="2">
        <v>0.8</v>
      </c>
      <c r="O363" s="2" t="str" cm="1">
        <f t="array" ref="O363">_xlfn.IFS(Table1[[#This Row],[Distance to School (km)]]&gt;=5,"Far",Table1[[#This Row],[Distance to School (km)]]&lt;5,"Near")</f>
        <v>Near</v>
      </c>
      <c r="P363" s="5">
        <f t="shared" si="11"/>
        <v>0.38950000000000007</v>
      </c>
    </row>
    <row r="364" spans="1:16" ht="15" x14ac:dyDescent="0.25">
      <c r="A364" s="2" t="s">
        <v>369</v>
      </c>
      <c r="B364" s="2" t="s">
        <v>679</v>
      </c>
      <c r="C364" s="2" t="s">
        <v>703</v>
      </c>
      <c r="D364" s="2" t="s">
        <v>745</v>
      </c>
      <c r="E364" s="2">
        <v>18</v>
      </c>
      <c r="F364" s="2" t="str" cm="1">
        <f t="array" ref="F364">_xlfn.IFS(Table1[[#This Row],[Age]]&lt;=16,"15-16",Table1[[#This Row],[Age]]&lt;19,"17-18")</f>
        <v>17-18</v>
      </c>
      <c r="G364" s="2" t="s">
        <v>757</v>
      </c>
      <c r="H364" s="3">
        <v>0.66</v>
      </c>
      <c r="I364" s="3">
        <v>0.88900000000000001</v>
      </c>
      <c r="J364" s="3" t="str" cm="1">
        <f t="array" ref="J364">_xlfn.IFS(Table1[[#This Row],[Overall Attendance]]&gt;=0.6,"Good",Table1[[#This Row],[Overall Attendance]]&lt;0.6,"Bad")</f>
        <v>Good</v>
      </c>
      <c r="K364" s="4">
        <v>267804</v>
      </c>
      <c r="L364" s="4">
        <f t="shared" si="10"/>
        <v>3213648</v>
      </c>
      <c r="M364" s="4" t="str" cm="1">
        <f t="array" ref="M36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64" s="2">
        <v>5</v>
      </c>
      <c r="O364" s="2" t="str" cm="1">
        <f t="array" ref="O364">_xlfn.IFS(Table1[[#This Row],[Distance to School (km)]]&gt;=5,"Far",Table1[[#This Row],[Distance to School (km)]]&lt;5,"Near")</f>
        <v>Far</v>
      </c>
      <c r="P364" s="5">
        <f t="shared" si="11"/>
        <v>0.22550000000000003</v>
      </c>
    </row>
    <row r="365" spans="1:16" ht="15" hidden="1" x14ac:dyDescent="0.25">
      <c r="A365" s="2" t="s">
        <v>370</v>
      </c>
      <c r="B365" s="2" t="s">
        <v>671</v>
      </c>
      <c r="C365" s="2" t="s">
        <v>722</v>
      </c>
      <c r="D365" s="2" t="s">
        <v>755</v>
      </c>
      <c r="E365" s="2">
        <v>15</v>
      </c>
      <c r="F365" s="2" t="str" cm="1">
        <f t="array" ref="F365">_xlfn.IFS(Table1[[#This Row],[Age]]&lt;=16,"15-16",Table1[[#This Row],[Age]]&lt;19,"17-18")</f>
        <v>15-16</v>
      </c>
      <c r="G365" s="2" t="s">
        <v>758</v>
      </c>
      <c r="H365" s="3">
        <v>0.12</v>
      </c>
      <c r="I365" s="3">
        <v>0.1</v>
      </c>
      <c r="J365" s="3" t="str" cm="1">
        <f t="array" ref="J365">_xlfn.IFS(Table1[[#This Row],[Overall Attendance]]&gt;=0.6,"Good",Table1[[#This Row],[Overall Attendance]]&lt;0.6,"Bad")</f>
        <v>Bad</v>
      </c>
      <c r="K365" s="4">
        <v>41018</v>
      </c>
      <c r="L365" s="4">
        <f t="shared" si="10"/>
        <v>492216</v>
      </c>
      <c r="M365" s="4" t="str" cm="1">
        <f t="array" ref="M36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65" s="2">
        <v>8.6</v>
      </c>
      <c r="O365" s="2" t="str" cm="1">
        <f t="array" ref="O365">_xlfn.IFS(Table1[[#This Row],[Distance to School (km)]]&gt;=5,"Far",Table1[[#This Row],[Distance to School (km)]]&lt;5,"Near")</f>
        <v>Far</v>
      </c>
      <c r="P365" s="5">
        <f t="shared" si="11"/>
        <v>0.89</v>
      </c>
    </row>
    <row r="366" spans="1:16" ht="15" hidden="1" x14ac:dyDescent="0.25">
      <c r="A366" s="2" t="s">
        <v>371</v>
      </c>
      <c r="B366" s="2" t="s">
        <v>680</v>
      </c>
      <c r="C366" s="2" t="s">
        <v>721</v>
      </c>
      <c r="D366" s="2" t="s">
        <v>748</v>
      </c>
      <c r="E366" s="2">
        <v>15</v>
      </c>
      <c r="F366" s="2" t="str" cm="1">
        <f t="array" ref="F366">_xlfn.IFS(Table1[[#This Row],[Age]]&lt;=16,"15-16",Table1[[#This Row],[Age]]&lt;19,"17-18")</f>
        <v>15-16</v>
      </c>
      <c r="G366" s="2" t="s">
        <v>758</v>
      </c>
      <c r="H366" s="3">
        <v>0.64300000000000002</v>
      </c>
      <c r="I366" s="3">
        <v>0.73799999999999999</v>
      </c>
      <c r="J366" s="3" t="str" cm="1">
        <f t="array" ref="J366">_xlfn.IFS(Table1[[#This Row],[Overall Attendance]]&gt;=0.6,"Good",Table1[[#This Row],[Overall Attendance]]&lt;0.6,"Bad")</f>
        <v>Good</v>
      </c>
      <c r="K366" s="4">
        <v>299986</v>
      </c>
      <c r="L366" s="4">
        <f t="shared" si="10"/>
        <v>3599832</v>
      </c>
      <c r="M366" s="4" t="str" cm="1">
        <f t="array" ref="M36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66" s="2">
        <v>10</v>
      </c>
      <c r="O366" s="2" t="str" cm="1">
        <f t="array" ref="O366">_xlfn.IFS(Table1[[#This Row],[Distance to School (km)]]&gt;=5,"Far",Table1[[#This Row],[Distance to School (km)]]&lt;5,"Near")</f>
        <v>Far</v>
      </c>
      <c r="P366" s="5">
        <f t="shared" si="11"/>
        <v>0.3095</v>
      </c>
    </row>
    <row r="367" spans="1:16" ht="15" x14ac:dyDescent="0.25">
      <c r="A367" s="2" t="s">
        <v>372</v>
      </c>
      <c r="B367" s="2" t="s">
        <v>656</v>
      </c>
      <c r="C367" s="2" t="s">
        <v>717</v>
      </c>
      <c r="D367" s="2" t="s">
        <v>736</v>
      </c>
      <c r="E367" s="2">
        <v>17</v>
      </c>
      <c r="F367" s="2" t="str" cm="1">
        <f t="array" ref="F367">_xlfn.IFS(Table1[[#This Row],[Age]]&lt;=16,"15-16",Table1[[#This Row],[Age]]&lt;19,"17-18")</f>
        <v>17-18</v>
      </c>
      <c r="G367" s="2" t="s">
        <v>758</v>
      </c>
      <c r="H367" s="3">
        <v>0.69799999999999995</v>
      </c>
      <c r="I367" s="3">
        <v>0.89500000000000002</v>
      </c>
      <c r="J367" s="3" t="str" cm="1">
        <f t="array" ref="J367">_xlfn.IFS(Table1[[#This Row],[Overall Attendance]]&gt;=0.6,"Good",Table1[[#This Row],[Overall Attendance]]&lt;0.6,"Bad")</f>
        <v>Good</v>
      </c>
      <c r="K367" s="4">
        <v>85765</v>
      </c>
      <c r="L367" s="4">
        <f t="shared" si="10"/>
        <v>1029180</v>
      </c>
      <c r="M367" s="4" t="str" cm="1">
        <f t="array" ref="M36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67" s="2">
        <v>3.9</v>
      </c>
      <c r="O367" s="2" t="str" cm="1">
        <f t="array" ref="O367">_xlfn.IFS(Table1[[#This Row],[Distance to School (km)]]&gt;=5,"Far",Table1[[#This Row],[Distance to School (km)]]&lt;5,"Near")</f>
        <v>Near</v>
      </c>
      <c r="P367" s="5">
        <f t="shared" si="11"/>
        <v>0.20350000000000001</v>
      </c>
    </row>
    <row r="368" spans="1:16" ht="15" x14ac:dyDescent="0.25">
      <c r="A368" s="2" t="s">
        <v>373</v>
      </c>
      <c r="B368" s="2" t="s">
        <v>669</v>
      </c>
      <c r="C368" s="2" t="s">
        <v>668</v>
      </c>
      <c r="D368" s="2" t="s">
        <v>751</v>
      </c>
      <c r="E368" s="2">
        <v>17</v>
      </c>
      <c r="F368" s="2" t="str" cm="1">
        <f t="array" ref="F368">_xlfn.IFS(Table1[[#This Row],[Age]]&lt;=16,"15-16",Table1[[#This Row],[Age]]&lt;19,"17-18")</f>
        <v>17-18</v>
      </c>
      <c r="G368" s="2" t="s">
        <v>757</v>
      </c>
      <c r="H368" s="3">
        <v>0.629</v>
      </c>
      <c r="I368" s="3">
        <v>0.82700000000000007</v>
      </c>
      <c r="J368" s="3" t="str" cm="1">
        <f t="array" ref="J368">_xlfn.IFS(Table1[[#This Row],[Overall Attendance]]&gt;=0.6,"Good",Table1[[#This Row],[Overall Attendance]]&lt;0.6,"Bad")</f>
        <v>Good</v>
      </c>
      <c r="K368" s="4">
        <v>39551</v>
      </c>
      <c r="L368" s="4">
        <f t="shared" si="10"/>
        <v>474612</v>
      </c>
      <c r="M368" s="4" t="str" cm="1">
        <f t="array" ref="M36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68" s="2">
        <v>4</v>
      </c>
      <c r="O368" s="2" t="str" cm="1">
        <f t="array" ref="O368">_xlfn.IFS(Table1[[#This Row],[Distance to School (km)]]&gt;=5,"Far",Table1[[#This Row],[Distance to School (km)]]&lt;5,"Near")</f>
        <v>Near</v>
      </c>
      <c r="P368" s="5">
        <f t="shared" si="11"/>
        <v>0.27200000000000002</v>
      </c>
    </row>
    <row r="369" spans="1:16" ht="15" hidden="1" x14ac:dyDescent="0.25">
      <c r="A369" s="2" t="s">
        <v>374</v>
      </c>
      <c r="B369" s="2" t="s">
        <v>677</v>
      </c>
      <c r="C369" s="2" t="s">
        <v>729</v>
      </c>
      <c r="D369" s="2" t="s">
        <v>756</v>
      </c>
      <c r="E369" s="2">
        <v>15</v>
      </c>
      <c r="F369" s="2" t="str" cm="1">
        <f t="array" ref="F369">_xlfn.IFS(Table1[[#This Row],[Age]]&lt;=16,"15-16",Table1[[#This Row],[Age]]&lt;19,"17-18")</f>
        <v>15-16</v>
      </c>
      <c r="G369" s="2" t="s">
        <v>757</v>
      </c>
      <c r="H369" s="3">
        <v>0.66799999999999993</v>
      </c>
      <c r="I369" s="3">
        <v>0.87</v>
      </c>
      <c r="J369" s="3" t="str" cm="1">
        <f t="array" ref="J369">_xlfn.IFS(Table1[[#This Row],[Overall Attendance]]&gt;=0.6,"Good",Table1[[#This Row],[Overall Attendance]]&lt;0.6,"Bad")</f>
        <v>Good</v>
      </c>
      <c r="K369" s="4">
        <v>66564</v>
      </c>
      <c r="L369" s="4">
        <f t="shared" si="10"/>
        <v>798768</v>
      </c>
      <c r="M369" s="4" t="str" cm="1">
        <f t="array" ref="M36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69" s="2">
        <v>8.1999999999999993</v>
      </c>
      <c r="O369" s="2" t="str" cm="1">
        <f t="array" ref="O369">_xlfn.IFS(Table1[[#This Row],[Distance to School (km)]]&gt;=5,"Far",Table1[[#This Row],[Distance to School (km)]]&lt;5,"Near")</f>
        <v>Far</v>
      </c>
      <c r="P369" s="5">
        <f t="shared" si="11"/>
        <v>0.23100000000000009</v>
      </c>
    </row>
    <row r="370" spans="1:16" ht="15" x14ac:dyDescent="0.25">
      <c r="A370" s="2" t="s">
        <v>375</v>
      </c>
      <c r="B370" s="2" t="s">
        <v>669</v>
      </c>
      <c r="C370" s="2" t="s">
        <v>712</v>
      </c>
      <c r="D370" s="2" t="s">
        <v>742</v>
      </c>
      <c r="E370" s="2">
        <v>17</v>
      </c>
      <c r="F370" s="2" t="str" cm="1">
        <f t="array" ref="F370">_xlfn.IFS(Table1[[#This Row],[Age]]&lt;=16,"15-16",Table1[[#This Row],[Age]]&lt;19,"17-18")</f>
        <v>17-18</v>
      </c>
      <c r="G370" s="2" t="s">
        <v>758</v>
      </c>
      <c r="H370" s="3">
        <v>0.60899999999999999</v>
      </c>
      <c r="I370" s="3">
        <v>0.85599999999999998</v>
      </c>
      <c r="J370" s="3" t="str" cm="1">
        <f t="array" ref="J370">_xlfn.IFS(Table1[[#This Row],[Overall Attendance]]&gt;=0.6,"Good",Table1[[#This Row],[Overall Attendance]]&lt;0.6,"Bad")</f>
        <v>Good</v>
      </c>
      <c r="K370" s="4">
        <v>352200</v>
      </c>
      <c r="L370" s="4">
        <f t="shared" si="10"/>
        <v>4226400</v>
      </c>
      <c r="M370" s="4" t="str" cm="1">
        <f t="array" ref="M37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70" s="2">
        <v>11.4</v>
      </c>
      <c r="O370" s="2" t="str" cm="1">
        <f t="array" ref="O370">_xlfn.IFS(Table1[[#This Row],[Distance to School (km)]]&gt;=5,"Far",Table1[[#This Row],[Distance to School (km)]]&lt;5,"Near")</f>
        <v>Far</v>
      </c>
      <c r="P370" s="5">
        <f t="shared" si="11"/>
        <v>0.26750000000000007</v>
      </c>
    </row>
    <row r="371" spans="1:16" ht="15" x14ac:dyDescent="0.25">
      <c r="A371" s="2" t="s">
        <v>376</v>
      </c>
      <c r="B371" s="2" t="s">
        <v>677</v>
      </c>
      <c r="C371" s="2" t="s">
        <v>672</v>
      </c>
      <c r="D371" s="2" t="s">
        <v>736</v>
      </c>
      <c r="E371" s="2">
        <v>17</v>
      </c>
      <c r="F371" s="2" t="str" cm="1">
        <f t="array" ref="F371">_xlfn.IFS(Table1[[#This Row],[Age]]&lt;=16,"15-16",Table1[[#This Row],[Age]]&lt;19,"17-18")</f>
        <v>17-18</v>
      </c>
      <c r="G371" s="2" t="s">
        <v>757</v>
      </c>
      <c r="H371" s="3">
        <v>0.755</v>
      </c>
      <c r="I371" s="3">
        <v>0.90200000000000002</v>
      </c>
      <c r="J371" s="3" t="str" cm="1">
        <f t="array" ref="J371">_xlfn.IFS(Table1[[#This Row],[Overall Attendance]]&gt;=0.6,"Good",Table1[[#This Row],[Overall Attendance]]&lt;0.6,"Bad")</f>
        <v>Good</v>
      </c>
      <c r="K371" s="4">
        <v>327366</v>
      </c>
      <c r="L371" s="4">
        <f t="shared" si="10"/>
        <v>3928392</v>
      </c>
      <c r="M371" s="4" t="str" cm="1">
        <f t="array" ref="M37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71" s="2">
        <v>4.3</v>
      </c>
      <c r="O371" s="2" t="str" cm="1">
        <f t="array" ref="O371">_xlfn.IFS(Table1[[#This Row],[Distance to School (km)]]&gt;=5,"Far",Table1[[#This Row],[Distance to School (km)]]&lt;5,"Near")</f>
        <v>Near</v>
      </c>
      <c r="P371" s="5">
        <f t="shared" si="11"/>
        <v>0.17149999999999999</v>
      </c>
    </row>
    <row r="372" spans="1:16" ht="15" x14ac:dyDescent="0.25">
      <c r="A372" s="2" t="s">
        <v>377</v>
      </c>
      <c r="B372" s="2" t="s">
        <v>675</v>
      </c>
      <c r="C372" s="2" t="s">
        <v>676</v>
      </c>
      <c r="D372" s="2" t="s">
        <v>749</v>
      </c>
      <c r="E372" s="2">
        <v>18</v>
      </c>
      <c r="F372" s="2" t="str" cm="1">
        <f t="array" ref="F372">_xlfn.IFS(Table1[[#This Row],[Age]]&lt;=16,"15-16",Table1[[#This Row],[Age]]&lt;19,"17-18")</f>
        <v>17-18</v>
      </c>
      <c r="G372" s="2" t="s">
        <v>757</v>
      </c>
      <c r="H372" s="3">
        <v>0.72699999999999998</v>
      </c>
      <c r="I372" s="3">
        <v>0.58399999999999996</v>
      </c>
      <c r="J372" s="3" t="str" cm="1">
        <f t="array" ref="J372">_xlfn.IFS(Table1[[#This Row],[Overall Attendance]]&gt;=0.6,"Good",Table1[[#This Row],[Overall Attendance]]&lt;0.6,"Bad")</f>
        <v>Bad</v>
      </c>
      <c r="K372" s="4">
        <v>50317</v>
      </c>
      <c r="L372" s="4">
        <f t="shared" si="10"/>
        <v>603804</v>
      </c>
      <c r="M372" s="4" t="str" cm="1">
        <f t="array" ref="M37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72" s="2">
        <v>8.6999999999999993</v>
      </c>
      <c r="O372" s="2" t="str" cm="1">
        <f t="array" ref="O372">_xlfn.IFS(Table1[[#This Row],[Distance to School (km)]]&gt;=5,"Far",Table1[[#This Row],[Distance to School (km)]]&lt;5,"Near")</f>
        <v>Far</v>
      </c>
      <c r="P372" s="5">
        <f t="shared" si="11"/>
        <v>0.34450000000000003</v>
      </c>
    </row>
    <row r="373" spans="1:16" ht="15" hidden="1" x14ac:dyDescent="0.25">
      <c r="A373" s="2" t="s">
        <v>378</v>
      </c>
      <c r="B373" s="2" t="s">
        <v>651</v>
      </c>
      <c r="C373" s="2" t="s">
        <v>711</v>
      </c>
      <c r="D373" s="2" t="s">
        <v>751</v>
      </c>
      <c r="E373" s="2">
        <v>15</v>
      </c>
      <c r="F373" s="2" t="str" cm="1">
        <f t="array" ref="F373">_xlfn.IFS(Table1[[#This Row],[Age]]&lt;=16,"15-16",Table1[[#This Row],[Age]]&lt;19,"17-18")</f>
        <v>15-16</v>
      </c>
      <c r="G373" s="2" t="s">
        <v>758</v>
      </c>
      <c r="H373" s="3">
        <v>0.23</v>
      </c>
      <c r="I373" s="3">
        <v>0.7390000000000001</v>
      </c>
      <c r="J373" s="3" t="str" cm="1">
        <f t="array" ref="J373">_xlfn.IFS(Table1[[#This Row],[Overall Attendance]]&gt;=0.6,"Good",Table1[[#This Row],[Overall Attendance]]&lt;0.6,"Bad")</f>
        <v>Good</v>
      </c>
      <c r="K373" s="4">
        <v>158374</v>
      </c>
      <c r="L373" s="4">
        <f t="shared" si="10"/>
        <v>1900488</v>
      </c>
      <c r="M373" s="4" t="str" cm="1">
        <f t="array" ref="M37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73" s="2">
        <v>6.1</v>
      </c>
      <c r="O373" s="2" t="str" cm="1">
        <f t="array" ref="O373">_xlfn.IFS(Table1[[#This Row],[Distance to School (km)]]&gt;=5,"Far",Table1[[#This Row],[Distance to School (km)]]&lt;5,"Near")</f>
        <v>Far</v>
      </c>
      <c r="P373" s="5">
        <f t="shared" si="11"/>
        <v>0.51549999999999996</v>
      </c>
    </row>
    <row r="374" spans="1:16" ht="15" hidden="1" x14ac:dyDescent="0.25">
      <c r="A374" s="2" t="s">
        <v>379</v>
      </c>
      <c r="B374" s="2" t="s">
        <v>658</v>
      </c>
      <c r="C374" s="2" t="s">
        <v>700</v>
      </c>
      <c r="D374" s="2" t="s">
        <v>742</v>
      </c>
      <c r="E374" s="2">
        <v>15</v>
      </c>
      <c r="F374" s="2" t="str" cm="1">
        <f t="array" ref="F374">_xlfn.IFS(Table1[[#This Row],[Age]]&lt;=16,"15-16",Table1[[#This Row],[Age]]&lt;19,"17-18")</f>
        <v>15-16</v>
      </c>
      <c r="G374" s="2" t="s">
        <v>757</v>
      </c>
      <c r="H374" s="3">
        <v>0.74900000000000011</v>
      </c>
      <c r="I374" s="3">
        <v>0.65400000000000003</v>
      </c>
      <c r="J374" s="3" t="str" cm="1">
        <f t="array" ref="J374">_xlfn.IFS(Table1[[#This Row],[Overall Attendance]]&gt;=0.6,"Good",Table1[[#This Row],[Overall Attendance]]&lt;0.6,"Bad")</f>
        <v>Good</v>
      </c>
      <c r="K374" s="4">
        <v>24587</v>
      </c>
      <c r="L374" s="4">
        <f t="shared" si="10"/>
        <v>295044</v>
      </c>
      <c r="M374" s="4" t="str" cm="1">
        <f t="array" ref="M37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74" s="2">
        <v>8.9</v>
      </c>
      <c r="O374" s="2" t="str" cm="1">
        <f t="array" ref="O374">_xlfn.IFS(Table1[[#This Row],[Distance to School (km)]]&gt;=5,"Far",Table1[[#This Row],[Distance to School (km)]]&lt;5,"Near")</f>
        <v>Far</v>
      </c>
      <c r="P374" s="5">
        <f t="shared" si="11"/>
        <v>0.29849999999999999</v>
      </c>
    </row>
    <row r="375" spans="1:16" ht="15" hidden="1" x14ac:dyDescent="0.25">
      <c r="A375" s="2" t="s">
        <v>380</v>
      </c>
      <c r="B375" s="2" t="s">
        <v>657</v>
      </c>
      <c r="C375" s="2" t="s">
        <v>708</v>
      </c>
      <c r="D375" s="2" t="s">
        <v>747</v>
      </c>
      <c r="E375" s="2">
        <v>16</v>
      </c>
      <c r="F375" s="2" t="str" cm="1">
        <f t="array" ref="F375">_xlfn.IFS(Table1[[#This Row],[Age]]&lt;=16,"15-16",Table1[[#This Row],[Age]]&lt;19,"17-18")</f>
        <v>15-16</v>
      </c>
      <c r="G375" s="2" t="s">
        <v>757</v>
      </c>
      <c r="H375" s="3">
        <v>0.48700000000000004</v>
      </c>
      <c r="I375" s="3">
        <v>0.89500000000000002</v>
      </c>
      <c r="J375" s="3" t="str" cm="1">
        <f t="array" ref="J375">_xlfn.IFS(Table1[[#This Row],[Overall Attendance]]&gt;=0.6,"Good",Table1[[#This Row],[Overall Attendance]]&lt;0.6,"Bad")</f>
        <v>Good</v>
      </c>
      <c r="K375" s="4">
        <v>268320</v>
      </c>
      <c r="L375" s="4">
        <f t="shared" si="10"/>
        <v>3219840</v>
      </c>
      <c r="M375" s="4" t="str" cm="1">
        <f t="array" ref="M37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75" s="2">
        <v>8</v>
      </c>
      <c r="O375" s="2" t="str" cm="1">
        <f t="array" ref="O375">_xlfn.IFS(Table1[[#This Row],[Distance to School (km)]]&gt;=5,"Far",Table1[[#This Row],[Distance to School (km)]]&lt;5,"Near")</f>
        <v>Far</v>
      </c>
      <c r="P375" s="5">
        <f t="shared" si="11"/>
        <v>0.30899999999999994</v>
      </c>
    </row>
    <row r="376" spans="1:16" ht="15" hidden="1" x14ac:dyDescent="0.25">
      <c r="A376" s="2" t="s">
        <v>381</v>
      </c>
      <c r="B376" s="2" t="s">
        <v>645</v>
      </c>
      <c r="C376" s="2" t="s">
        <v>691</v>
      </c>
      <c r="D376" s="2" t="s">
        <v>739</v>
      </c>
      <c r="E376" s="2">
        <v>15</v>
      </c>
      <c r="F376" s="2" t="str" cm="1">
        <f t="array" ref="F376">_xlfn.IFS(Table1[[#This Row],[Age]]&lt;=16,"15-16",Table1[[#This Row],[Age]]&lt;19,"17-18")</f>
        <v>15-16</v>
      </c>
      <c r="G376" s="2" t="s">
        <v>758</v>
      </c>
      <c r="H376" s="3">
        <v>0.42</v>
      </c>
      <c r="I376" s="3">
        <v>0.71499999999999997</v>
      </c>
      <c r="J376" s="3" t="str" cm="1">
        <f t="array" ref="J376">_xlfn.IFS(Table1[[#This Row],[Overall Attendance]]&gt;=0.6,"Good",Table1[[#This Row],[Overall Attendance]]&lt;0.6,"Bad")</f>
        <v>Good</v>
      </c>
      <c r="K376" s="4">
        <v>24387</v>
      </c>
      <c r="L376" s="4">
        <f t="shared" si="10"/>
        <v>292644</v>
      </c>
      <c r="M376" s="4" t="str" cm="1">
        <f t="array" ref="M37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76" s="2">
        <v>5.0999999999999996</v>
      </c>
      <c r="O376" s="2" t="str" cm="1">
        <f t="array" ref="O376">_xlfn.IFS(Table1[[#This Row],[Distance to School (km)]]&gt;=5,"Far",Table1[[#This Row],[Distance to School (km)]]&lt;5,"Near")</f>
        <v>Far</v>
      </c>
      <c r="P376" s="5">
        <f t="shared" si="11"/>
        <v>0.4325</v>
      </c>
    </row>
    <row r="377" spans="1:16" ht="15" x14ac:dyDescent="0.25">
      <c r="A377" s="2" t="s">
        <v>382</v>
      </c>
      <c r="B377" s="2" t="s">
        <v>660</v>
      </c>
      <c r="C377" s="2" t="s">
        <v>715</v>
      </c>
      <c r="D377" s="2" t="s">
        <v>668</v>
      </c>
      <c r="E377" s="2">
        <v>18</v>
      </c>
      <c r="F377" s="2" t="str" cm="1">
        <f t="array" ref="F377">_xlfn.IFS(Table1[[#This Row],[Age]]&lt;=16,"15-16",Table1[[#This Row],[Age]]&lt;19,"17-18")</f>
        <v>17-18</v>
      </c>
      <c r="G377" s="2" t="s">
        <v>757</v>
      </c>
      <c r="H377" s="3">
        <v>0.69299999999999995</v>
      </c>
      <c r="I377" s="3">
        <v>0.92400000000000004</v>
      </c>
      <c r="J377" s="3" t="str" cm="1">
        <f t="array" ref="J377">_xlfn.IFS(Table1[[#This Row],[Overall Attendance]]&gt;=0.6,"Good",Table1[[#This Row],[Overall Attendance]]&lt;0.6,"Bad")</f>
        <v>Good</v>
      </c>
      <c r="K377" s="4">
        <v>60435</v>
      </c>
      <c r="L377" s="4">
        <f t="shared" si="10"/>
        <v>725220</v>
      </c>
      <c r="M377" s="4" t="str" cm="1">
        <f t="array" ref="M37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77" s="2">
        <v>9</v>
      </c>
      <c r="O377" s="2" t="str" cm="1">
        <f t="array" ref="O377">_xlfn.IFS(Table1[[#This Row],[Distance to School (km)]]&gt;=5,"Far",Table1[[#This Row],[Distance to School (km)]]&lt;5,"Near")</f>
        <v>Far</v>
      </c>
      <c r="P377" s="5">
        <f t="shared" si="11"/>
        <v>0.1915</v>
      </c>
    </row>
    <row r="378" spans="1:16" ht="15" x14ac:dyDescent="0.25">
      <c r="A378" s="2" t="s">
        <v>383</v>
      </c>
      <c r="B378" s="2" t="s">
        <v>645</v>
      </c>
      <c r="C378" s="2" t="s">
        <v>709</v>
      </c>
      <c r="D378" s="2" t="s">
        <v>739</v>
      </c>
      <c r="E378" s="2">
        <v>17</v>
      </c>
      <c r="F378" s="2" t="str" cm="1">
        <f t="array" ref="F378">_xlfn.IFS(Table1[[#This Row],[Age]]&lt;=16,"15-16",Table1[[#This Row],[Age]]&lt;19,"17-18")</f>
        <v>17-18</v>
      </c>
      <c r="G378" s="2" t="s">
        <v>758</v>
      </c>
      <c r="H378" s="3">
        <v>0.57700000000000007</v>
      </c>
      <c r="I378" s="3">
        <v>0.82299999999999995</v>
      </c>
      <c r="J378" s="3" t="str" cm="1">
        <f t="array" ref="J378">_xlfn.IFS(Table1[[#This Row],[Overall Attendance]]&gt;=0.6,"Good",Table1[[#This Row],[Overall Attendance]]&lt;0.6,"Bad")</f>
        <v>Good</v>
      </c>
      <c r="K378" s="4">
        <v>65337</v>
      </c>
      <c r="L378" s="4">
        <f t="shared" si="10"/>
        <v>784044</v>
      </c>
      <c r="M378" s="4" t="str" cm="1">
        <f t="array" ref="M37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78" s="2">
        <v>6.5</v>
      </c>
      <c r="O378" s="2" t="str" cm="1">
        <f t="array" ref="O378">_xlfn.IFS(Table1[[#This Row],[Distance to School (km)]]&gt;=5,"Far",Table1[[#This Row],[Distance to School (km)]]&lt;5,"Near")</f>
        <v>Far</v>
      </c>
      <c r="P378" s="5">
        <f t="shared" si="11"/>
        <v>0.30000000000000004</v>
      </c>
    </row>
    <row r="379" spans="1:16" ht="15" x14ac:dyDescent="0.25">
      <c r="A379" s="2" t="s">
        <v>384</v>
      </c>
      <c r="B379" s="2" t="s">
        <v>664</v>
      </c>
      <c r="C379" s="2" t="s">
        <v>719</v>
      </c>
      <c r="D379" s="2" t="s">
        <v>745</v>
      </c>
      <c r="E379" s="2">
        <v>17</v>
      </c>
      <c r="F379" s="2" t="str" cm="1">
        <f t="array" ref="F379">_xlfn.IFS(Table1[[#This Row],[Age]]&lt;=16,"15-16",Table1[[#This Row],[Age]]&lt;19,"17-18")</f>
        <v>17-18</v>
      </c>
      <c r="G379" s="2" t="s">
        <v>758</v>
      </c>
      <c r="H379" s="3">
        <v>0.78799999999999992</v>
      </c>
      <c r="I379" s="3">
        <v>0.85599999999999998</v>
      </c>
      <c r="J379" s="3" t="str" cm="1">
        <f t="array" ref="J379">_xlfn.IFS(Table1[[#This Row],[Overall Attendance]]&gt;=0.6,"Good",Table1[[#This Row],[Overall Attendance]]&lt;0.6,"Bad")</f>
        <v>Good</v>
      </c>
      <c r="K379" s="4">
        <v>168338</v>
      </c>
      <c r="L379" s="4">
        <f t="shared" si="10"/>
        <v>2020056</v>
      </c>
      <c r="M379" s="4" t="str" cm="1">
        <f t="array" ref="M37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79" s="2">
        <v>10.1</v>
      </c>
      <c r="O379" s="2" t="str" cm="1">
        <f t="array" ref="O379">_xlfn.IFS(Table1[[#This Row],[Distance to School (km)]]&gt;=5,"Far",Table1[[#This Row],[Distance to School (km)]]&lt;5,"Near")</f>
        <v>Far</v>
      </c>
      <c r="P379" s="5">
        <f t="shared" si="11"/>
        <v>0.17800000000000005</v>
      </c>
    </row>
    <row r="380" spans="1:16" ht="15" hidden="1" x14ac:dyDescent="0.25">
      <c r="A380" s="2" t="s">
        <v>385</v>
      </c>
      <c r="B380" s="2" t="s">
        <v>677</v>
      </c>
      <c r="C380" s="2" t="s">
        <v>728</v>
      </c>
      <c r="D380" s="2" t="s">
        <v>755</v>
      </c>
      <c r="E380" s="2">
        <v>16</v>
      </c>
      <c r="F380" s="2" t="str" cm="1">
        <f t="array" ref="F380">_xlfn.IFS(Table1[[#This Row],[Age]]&lt;=16,"15-16",Table1[[#This Row],[Age]]&lt;19,"17-18")</f>
        <v>15-16</v>
      </c>
      <c r="G380" s="2" t="s">
        <v>757</v>
      </c>
      <c r="H380" s="3">
        <v>0.504</v>
      </c>
      <c r="I380" s="3">
        <v>0.92900000000000005</v>
      </c>
      <c r="J380" s="3" t="str" cm="1">
        <f t="array" ref="J380">_xlfn.IFS(Table1[[#This Row],[Overall Attendance]]&gt;=0.6,"Good",Table1[[#This Row],[Overall Attendance]]&lt;0.6,"Bad")</f>
        <v>Good</v>
      </c>
      <c r="K380" s="4">
        <v>265952</v>
      </c>
      <c r="L380" s="4">
        <f t="shared" si="10"/>
        <v>3191424</v>
      </c>
      <c r="M380" s="4" t="str" cm="1">
        <f t="array" ref="M38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80" s="2">
        <v>11.7</v>
      </c>
      <c r="O380" s="2" t="str" cm="1">
        <f t="array" ref="O380">_xlfn.IFS(Table1[[#This Row],[Distance to School (km)]]&gt;=5,"Far",Table1[[#This Row],[Distance to School (km)]]&lt;5,"Near")</f>
        <v>Far</v>
      </c>
      <c r="P380" s="5">
        <f t="shared" si="11"/>
        <v>0.28349999999999997</v>
      </c>
    </row>
    <row r="381" spans="1:16" ht="15" x14ac:dyDescent="0.25">
      <c r="A381" s="2" t="s">
        <v>386</v>
      </c>
      <c r="B381" s="2" t="s">
        <v>646</v>
      </c>
      <c r="C381" s="2" t="s">
        <v>726</v>
      </c>
      <c r="D381" s="2" t="s">
        <v>753</v>
      </c>
      <c r="E381" s="2">
        <v>17</v>
      </c>
      <c r="F381" s="2" t="str" cm="1">
        <f t="array" ref="F381">_xlfn.IFS(Table1[[#This Row],[Age]]&lt;=16,"15-16",Table1[[#This Row],[Age]]&lt;19,"17-18")</f>
        <v>17-18</v>
      </c>
      <c r="G381" s="2" t="s">
        <v>758</v>
      </c>
      <c r="H381" s="3">
        <v>0.68599999999999994</v>
      </c>
      <c r="I381" s="3">
        <v>0.61899999999999999</v>
      </c>
      <c r="J381" s="3" t="str" cm="1">
        <f t="array" ref="J381">_xlfn.IFS(Table1[[#This Row],[Overall Attendance]]&gt;=0.6,"Good",Table1[[#This Row],[Overall Attendance]]&lt;0.6,"Bad")</f>
        <v>Good</v>
      </c>
      <c r="K381" s="4">
        <v>82889</v>
      </c>
      <c r="L381" s="4">
        <f t="shared" si="10"/>
        <v>994668</v>
      </c>
      <c r="M381" s="4" t="str" cm="1">
        <f t="array" ref="M38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81" s="2">
        <v>3.1</v>
      </c>
      <c r="O381" s="2" t="str" cm="1">
        <f t="array" ref="O381">_xlfn.IFS(Table1[[#This Row],[Distance to School (km)]]&gt;=5,"Far",Table1[[#This Row],[Distance to School (km)]]&lt;5,"Near")</f>
        <v>Near</v>
      </c>
      <c r="P381" s="5">
        <f t="shared" si="11"/>
        <v>0.34750000000000003</v>
      </c>
    </row>
    <row r="382" spans="1:16" ht="15" x14ac:dyDescent="0.25">
      <c r="A382" s="2" t="s">
        <v>387</v>
      </c>
      <c r="B382" s="2" t="s">
        <v>684</v>
      </c>
      <c r="C382" s="2" t="s">
        <v>695</v>
      </c>
      <c r="D382" s="2" t="s">
        <v>752</v>
      </c>
      <c r="E382" s="2">
        <v>18</v>
      </c>
      <c r="F382" s="2" t="str" cm="1">
        <f t="array" ref="F382">_xlfn.IFS(Table1[[#This Row],[Age]]&lt;=16,"15-16",Table1[[#This Row],[Age]]&lt;19,"17-18")</f>
        <v>17-18</v>
      </c>
      <c r="G382" s="2" t="s">
        <v>757</v>
      </c>
      <c r="H382" s="3">
        <v>0.1</v>
      </c>
      <c r="I382" s="3">
        <v>0.15</v>
      </c>
      <c r="J382" s="3" t="str" cm="1">
        <f t="array" ref="J382">_xlfn.IFS(Table1[[#This Row],[Overall Attendance]]&gt;=0.6,"Good",Table1[[#This Row],[Overall Attendance]]&lt;0.6,"Bad")</f>
        <v>Bad</v>
      </c>
      <c r="K382" s="4">
        <v>130192</v>
      </c>
      <c r="L382" s="4">
        <f t="shared" si="10"/>
        <v>1562304</v>
      </c>
      <c r="M382" s="4" t="str" cm="1">
        <f t="array" ref="M38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82" s="2">
        <v>8.8000000000000007</v>
      </c>
      <c r="O382" s="2" t="str" cm="1">
        <f t="array" ref="O382">_xlfn.IFS(Table1[[#This Row],[Distance to School (km)]]&gt;=5,"Far",Table1[[#This Row],[Distance to School (km)]]&lt;5,"Near")</f>
        <v>Far</v>
      </c>
      <c r="P382" s="5">
        <f t="shared" si="11"/>
        <v>0.875</v>
      </c>
    </row>
    <row r="383" spans="1:16" ht="15" hidden="1" x14ac:dyDescent="0.25">
      <c r="A383" s="2" t="s">
        <v>388</v>
      </c>
      <c r="B383" s="2" t="s">
        <v>659</v>
      </c>
      <c r="C383" s="2" t="s">
        <v>719</v>
      </c>
      <c r="D383" s="2" t="s">
        <v>747</v>
      </c>
      <c r="E383" s="2">
        <v>15</v>
      </c>
      <c r="F383" s="2" t="str" cm="1">
        <f t="array" ref="F383">_xlfn.IFS(Table1[[#This Row],[Age]]&lt;=16,"15-16",Table1[[#This Row],[Age]]&lt;19,"17-18")</f>
        <v>15-16</v>
      </c>
      <c r="G383" s="2" t="s">
        <v>758</v>
      </c>
      <c r="H383" s="3">
        <v>0.74</v>
      </c>
      <c r="I383" s="3">
        <v>0.98</v>
      </c>
      <c r="J383" s="3" t="str" cm="1">
        <f t="array" ref="J383">_xlfn.IFS(Table1[[#This Row],[Overall Attendance]]&gt;=0.6,"Good",Table1[[#This Row],[Overall Attendance]]&lt;0.6,"Bad")</f>
        <v>Good</v>
      </c>
      <c r="K383" s="4">
        <v>665970</v>
      </c>
      <c r="L383" s="4">
        <f t="shared" si="10"/>
        <v>7991640</v>
      </c>
      <c r="M383" s="4" t="str" cm="1">
        <f t="array" ref="M383">_xlfn.IFS(Table1[[#This Row],[Family Income per Year]]&gt;=5000000,"High Income",Table1[[#This Row],[Family Income per Year]]&gt;=1000000,"Middle Income",Table1[[#This Row],[Family Income per Year]]&lt;1000000,"Low Income")</f>
        <v>High Income</v>
      </c>
      <c r="N383" s="2">
        <v>2</v>
      </c>
      <c r="O383" s="2" t="str" cm="1">
        <f t="array" ref="O383">_xlfn.IFS(Table1[[#This Row],[Distance to School (km)]]&gt;=5,"Far",Table1[[#This Row],[Distance to School (km)]]&lt;5,"Near")</f>
        <v>Near</v>
      </c>
      <c r="P383" s="5">
        <f t="shared" si="11"/>
        <v>0.14000000000000001</v>
      </c>
    </row>
    <row r="384" spans="1:16" ht="15" x14ac:dyDescent="0.25">
      <c r="A384" s="2" t="s">
        <v>389</v>
      </c>
      <c r="B384" s="2" t="s">
        <v>643</v>
      </c>
      <c r="C384" s="2" t="s">
        <v>702</v>
      </c>
      <c r="D384" s="2" t="s">
        <v>741</v>
      </c>
      <c r="E384" s="2">
        <v>17</v>
      </c>
      <c r="F384" s="2" t="str" cm="1">
        <f t="array" ref="F384">_xlfn.IFS(Table1[[#This Row],[Age]]&lt;=16,"15-16",Table1[[#This Row],[Age]]&lt;19,"17-18")</f>
        <v>17-18</v>
      </c>
      <c r="G384" s="2" t="s">
        <v>757</v>
      </c>
      <c r="H384" s="3">
        <v>0.748</v>
      </c>
      <c r="I384" s="3">
        <v>0.76400000000000001</v>
      </c>
      <c r="J384" s="3" t="str" cm="1">
        <f t="array" ref="J384">_xlfn.IFS(Table1[[#This Row],[Overall Attendance]]&gt;=0.6,"Good",Table1[[#This Row],[Overall Attendance]]&lt;0.6,"Bad")</f>
        <v>Good</v>
      </c>
      <c r="K384" s="4">
        <v>33285</v>
      </c>
      <c r="L384" s="4">
        <f t="shared" si="10"/>
        <v>399420</v>
      </c>
      <c r="M384" s="4" t="str" cm="1">
        <f t="array" ref="M38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84" s="2">
        <v>10.6</v>
      </c>
      <c r="O384" s="2" t="str" cm="1">
        <f t="array" ref="O384">_xlfn.IFS(Table1[[#This Row],[Distance to School (km)]]&gt;=5,"Far",Table1[[#This Row],[Distance to School (km)]]&lt;5,"Near")</f>
        <v>Far</v>
      </c>
      <c r="P384" s="5">
        <f t="shared" si="11"/>
        <v>0.24399999999999999</v>
      </c>
    </row>
    <row r="385" spans="1:16" ht="15" hidden="1" x14ac:dyDescent="0.25">
      <c r="A385" s="2" t="s">
        <v>390</v>
      </c>
      <c r="B385" s="2" t="s">
        <v>674</v>
      </c>
      <c r="C385" s="2" t="s">
        <v>699</v>
      </c>
      <c r="D385" s="2" t="s">
        <v>737</v>
      </c>
      <c r="E385" s="2">
        <v>16</v>
      </c>
      <c r="F385" s="2" t="str" cm="1">
        <f t="array" ref="F385">_xlfn.IFS(Table1[[#This Row],[Age]]&lt;=16,"15-16",Table1[[#This Row],[Age]]&lt;19,"17-18")</f>
        <v>15-16</v>
      </c>
      <c r="G385" s="2" t="s">
        <v>757</v>
      </c>
      <c r="H385" s="3">
        <v>0.86099999999999999</v>
      </c>
      <c r="I385" s="3">
        <v>0.81099999999999994</v>
      </c>
      <c r="J385" s="3" t="str" cm="1">
        <f t="array" ref="J385">_xlfn.IFS(Table1[[#This Row],[Overall Attendance]]&gt;=0.6,"Good",Table1[[#This Row],[Overall Attendance]]&lt;0.6,"Bad")</f>
        <v>Good</v>
      </c>
      <c r="K385" s="4">
        <v>64377</v>
      </c>
      <c r="L385" s="4">
        <f t="shared" si="10"/>
        <v>772524</v>
      </c>
      <c r="M385" s="4" t="str" cm="1">
        <f t="array" ref="M38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85" s="2">
        <v>9.6</v>
      </c>
      <c r="O385" s="2" t="str" cm="1">
        <f t="array" ref="O385">_xlfn.IFS(Table1[[#This Row],[Distance to School (km)]]&gt;=5,"Far",Table1[[#This Row],[Distance to School (km)]]&lt;5,"Near")</f>
        <v>Far</v>
      </c>
      <c r="P385" s="5">
        <f t="shared" si="11"/>
        <v>0.16400000000000003</v>
      </c>
    </row>
    <row r="386" spans="1:16" ht="15" hidden="1" x14ac:dyDescent="0.25">
      <c r="A386" s="2" t="s">
        <v>391</v>
      </c>
      <c r="B386" s="2" t="s">
        <v>678</v>
      </c>
      <c r="C386" s="2" t="s">
        <v>717</v>
      </c>
      <c r="D386" s="2" t="s">
        <v>754</v>
      </c>
      <c r="E386" s="2">
        <v>16</v>
      </c>
      <c r="F386" s="2" t="str" cm="1">
        <f t="array" ref="F386">_xlfn.IFS(Table1[[#This Row],[Age]]&lt;=16,"15-16",Table1[[#This Row],[Age]]&lt;19,"17-18")</f>
        <v>15-16</v>
      </c>
      <c r="G386" s="2" t="s">
        <v>758</v>
      </c>
      <c r="H386" s="3">
        <v>0.76300000000000001</v>
      </c>
      <c r="I386" s="3">
        <v>0.75700000000000001</v>
      </c>
      <c r="J386" s="3" t="str" cm="1">
        <f t="array" ref="J386">_xlfn.IFS(Table1[[#This Row],[Overall Attendance]]&gt;=0.6,"Good",Table1[[#This Row],[Overall Attendance]]&lt;0.6,"Bad")</f>
        <v>Good</v>
      </c>
      <c r="K386" s="4">
        <v>65062</v>
      </c>
      <c r="L386" s="4">
        <f t="shared" si="10"/>
        <v>780744</v>
      </c>
      <c r="M386" s="4" t="str" cm="1">
        <f t="array" ref="M38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86" s="2">
        <v>1.7</v>
      </c>
      <c r="O386" s="2" t="str" cm="1">
        <f t="array" ref="O386">_xlfn.IFS(Table1[[#This Row],[Distance to School (km)]]&gt;=5,"Far",Table1[[#This Row],[Distance to School (km)]]&lt;5,"Near")</f>
        <v>Near</v>
      </c>
      <c r="P386" s="5">
        <f t="shared" si="11"/>
        <v>0.24</v>
      </c>
    </row>
    <row r="387" spans="1:16" ht="15" hidden="1" x14ac:dyDescent="0.25">
      <c r="A387" s="2" t="s">
        <v>392</v>
      </c>
      <c r="B387" s="2" t="s">
        <v>662</v>
      </c>
      <c r="C387" s="2" t="s">
        <v>711</v>
      </c>
      <c r="D387" s="2" t="s">
        <v>737</v>
      </c>
      <c r="E387" s="2">
        <v>16</v>
      </c>
      <c r="F387" s="2" t="str" cm="1">
        <f t="array" ref="F387">_xlfn.IFS(Table1[[#This Row],[Age]]&lt;=16,"15-16",Table1[[#This Row],[Age]]&lt;19,"17-18")</f>
        <v>15-16</v>
      </c>
      <c r="G387" s="2" t="s">
        <v>758</v>
      </c>
      <c r="H387" s="3">
        <v>0.73199999999999998</v>
      </c>
      <c r="I387" s="3">
        <v>0.88500000000000001</v>
      </c>
      <c r="J387" s="3" t="str" cm="1">
        <f t="array" ref="J387">_xlfn.IFS(Table1[[#This Row],[Overall Attendance]]&gt;=0.6,"Good",Table1[[#This Row],[Overall Attendance]]&lt;0.6,"Bad")</f>
        <v>Good</v>
      </c>
      <c r="K387" s="4">
        <v>40144</v>
      </c>
      <c r="L387" s="4">
        <f t="shared" ref="L387:L450" si="12">K387*12</f>
        <v>481728</v>
      </c>
      <c r="M387" s="4" t="str" cm="1">
        <f t="array" ref="M38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87" s="2">
        <v>1.6</v>
      </c>
      <c r="O387" s="2" t="str" cm="1">
        <f t="array" ref="O387">_xlfn.IFS(Table1[[#This Row],[Distance to School (km)]]&gt;=5,"Far",Table1[[#This Row],[Distance to School (km)]]&lt;5,"Near")</f>
        <v>Near</v>
      </c>
      <c r="P387" s="5">
        <f t="shared" ref="P387:P450" si="13">100%-AVERAGE(H387:I387)</f>
        <v>0.1915</v>
      </c>
    </row>
    <row r="388" spans="1:16" ht="15" x14ac:dyDescent="0.25">
      <c r="A388" s="2" t="s">
        <v>393</v>
      </c>
      <c r="B388" s="2" t="s">
        <v>678</v>
      </c>
      <c r="C388" s="2" t="s">
        <v>727</v>
      </c>
      <c r="D388" s="2" t="s">
        <v>641</v>
      </c>
      <c r="E388" s="2">
        <v>18</v>
      </c>
      <c r="F388" s="2" t="str" cm="1">
        <f t="array" ref="F388">_xlfn.IFS(Table1[[#This Row],[Age]]&lt;=16,"15-16",Table1[[#This Row],[Age]]&lt;19,"17-18")</f>
        <v>17-18</v>
      </c>
      <c r="G388" s="2" t="s">
        <v>757</v>
      </c>
      <c r="H388" s="3">
        <v>0.50600000000000001</v>
      </c>
      <c r="I388" s="3">
        <v>0.8640000000000001</v>
      </c>
      <c r="J388" s="3" t="str" cm="1">
        <f t="array" ref="J388">_xlfn.IFS(Table1[[#This Row],[Overall Attendance]]&gt;=0.6,"Good",Table1[[#This Row],[Overall Attendance]]&lt;0.6,"Bad")</f>
        <v>Good</v>
      </c>
      <c r="K388" s="4">
        <v>338889</v>
      </c>
      <c r="L388" s="4">
        <f t="shared" si="12"/>
        <v>4066668</v>
      </c>
      <c r="M388" s="4" t="str" cm="1">
        <f t="array" ref="M38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88" s="2">
        <v>3.1</v>
      </c>
      <c r="O388" s="2" t="str" cm="1">
        <f t="array" ref="O388">_xlfn.IFS(Table1[[#This Row],[Distance to School (km)]]&gt;=5,"Far",Table1[[#This Row],[Distance to School (km)]]&lt;5,"Near")</f>
        <v>Near</v>
      </c>
      <c r="P388" s="5">
        <f t="shared" si="13"/>
        <v>0.31499999999999995</v>
      </c>
    </row>
    <row r="389" spans="1:16" ht="15" hidden="1" x14ac:dyDescent="0.25">
      <c r="A389" s="2" t="s">
        <v>394</v>
      </c>
      <c r="B389" s="2" t="s">
        <v>657</v>
      </c>
      <c r="C389" s="2" t="s">
        <v>726</v>
      </c>
      <c r="D389" s="2" t="s">
        <v>738</v>
      </c>
      <c r="E389" s="2">
        <v>16</v>
      </c>
      <c r="F389" s="2" t="str" cm="1">
        <f t="array" ref="F389">_xlfn.IFS(Table1[[#This Row],[Age]]&lt;=16,"15-16",Table1[[#This Row],[Age]]&lt;19,"17-18")</f>
        <v>15-16</v>
      </c>
      <c r="G389" s="2" t="s">
        <v>758</v>
      </c>
      <c r="H389" s="3">
        <v>0.81099999999999994</v>
      </c>
      <c r="I389" s="3">
        <v>0.71599999999999997</v>
      </c>
      <c r="J389" s="3" t="str" cm="1">
        <f t="array" ref="J389">_xlfn.IFS(Table1[[#This Row],[Overall Attendance]]&gt;=0.6,"Good",Table1[[#This Row],[Overall Attendance]]&lt;0.6,"Bad")</f>
        <v>Good</v>
      </c>
      <c r="K389" s="4">
        <v>155770</v>
      </c>
      <c r="L389" s="4">
        <f t="shared" si="12"/>
        <v>1869240</v>
      </c>
      <c r="M389" s="4" t="str" cm="1">
        <f t="array" ref="M38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89" s="2">
        <v>6</v>
      </c>
      <c r="O389" s="2" t="str" cm="1">
        <f t="array" ref="O389">_xlfn.IFS(Table1[[#This Row],[Distance to School (km)]]&gt;=5,"Far",Table1[[#This Row],[Distance to School (km)]]&lt;5,"Near")</f>
        <v>Far</v>
      </c>
      <c r="P389" s="5">
        <f t="shared" si="13"/>
        <v>0.23650000000000004</v>
      </c>
    </row>
    <row r="390" spans="1:16" ht="15" x14ac:dyDescent="0.25">
      <c r="A390" s="2" t="s">
        <v>395</v>
      </c>
      <c r="B390" s="2" t="s">
        <v>658</v>
      </c>
      <c r="C390" s="2" t="s">
        <v>710</v>
      </c>
      <c r="D390" s="2" t="s">
        <v>712</v>
      </c>
      <c r="E390" s="2">
        <v>18</v>
      </c>
      <c r="F390" s="2" t="str" cm="1">
        <f t="array" ref="F390">_xlfn.IFS(Table1[[#This Row],[Age]]&lt;=16,"15-16",Table1[[#This Row],[Age]]&lt;19,"17-18")</f>
        <v>17-18</v>
      </c>
      <c r="G390" s="2" t="s">
        <v>757</v>
      </c>
      <c r="H390" s="3">
        <v>0.55500000000000005</v>
      </c>
      <c r="I390" s="3">
        <v>0.85499999999999998</v>
      </c>
      <c r="J390" s="3" t="str" cm="1">
        <f t="array" ref="J390">_xlfn.IFS(Table1[[#This Row],[Overall Attendance]]&gt;=0.6,"Good",Table1[[#This Row],[Overall Attendance]]&lt;0.6,"Bad")</f>
        <v>Good</v>
      </c>
      <c r="K390" s="4">
        <v>43237</v>
      </c>
      <c r="L390" s="4">
        <f t="shared" si="12"/>
        <v>518844</v>
      </c>
      <c r="M390" s="4" t="str" cm="1">
        <f t="array" ref="M39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90" s="2">
        <v>6.5</v>
      </c>
      <c r="O390" s="2" t="str" cm="1">
        <f t="array" ref="O390">_xlfn.IFS(Table1[[#This Row],[Distance to School (km)]]&gt;=5,"Far",Table1[[#This Row],[Distance to School (km)]]&lt;5,"Near")</f>
        <v>Far</v>
      </c>
      <c r="P390" s="5">
        <f t="shared" si="13"/>
        <v>0.29499999999999993</v>
      </c>
    </row>
    <row r="391" spans="1:16" ht="15" x14ac:dyDescent="0.25">
      <c r="A391" s="2" t="s">
        <v>396</v>
      </c>
      <c r="B391" s="2" t="s">
        <v>667</v>
      </c>
      <c r="C391" s="2" t="s">
        <v>656</v>
      </c>
      <c r="D391" s="2" t="s">
        <v>750</v>
      </c>
      <c r="E391" s="2">
        <v>17</v>
      </c>
      <c r="F391" s="2" t="str" cm="1">
        <f t="array" ref="F391">_xlfn.IFS(Table1[[#This Row],[Age]]&lt;=16,"15-16",Table1[[#This Row],[Age]]&lt;19,"17-18")</f>
        <v>17-18</v>
      </c>
      <c r="G391" s="2" t="s">
        <v>757</v>
      </c>
      <c r="H391" s="3">
        <v>0.57499999999999996</v>
      </c>
      <c r="I391" s="3">
        <v>0.8640000000000001</v>
      </c>
      <c r="J391" s="3" t="str" cm="1">
        <f t="array" ref="J391">_xlfn.IFS(Table1[[#This Row],[Overall Attendance]]&gt;=0.6,"Good",Table1[[#This Row],[Overall Attendance]]&lt;0.6,"Bad")</f>
        <v>Good</v>
      </c>
      <c r="K391" s="4">
        <v>268499</v>
      </c>
      <c r="L391" s="4">
        <f t="shared" si="12"/>
        <v>3221988</v>
      </c>
      <c r="M391" s="4" t="str" cm="1">
        <f t="array" ref="M39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91" s="2">
        <v>7</v>
      </c>
      <c r="O391" s="2" t="str" cm="1">
        <f t="array" ref="O391">_xlfn.IFS(Table1[[#This Row],[Distance to School (km)]]&gt;=5,"Far",Table1[[#This Row],[Distance to School (km)]]&lt;5,"Near")</f>
        <v>Far</v>
      </c>
      <c r="P391" s="5">
        <f t="shared" si="13"/>
        <v>0.28049999999999997</v>
      </c>
    </row>
    <row r="392" spans="1:16" ht="15" x14ac:dyDescent="0.25">
      <c r="A392" s="2" t="s">
        <v>397</v>
      </c>
      <c r="B392" s="2" t="s">
        <v>659</v>
      </c>
      <c r="C392" s="2" t="s">
        <v>714</v>
      </c>
      <c r="D392" s="2" t="s">
        <v>750</v>
      </c>
      <c r="E392" s="2">
        <v>17</v>
      </c>
      <c r="F392" s="2" t="str" cm="1">
        <f t="array" ref="F392">_xlfn.IFS(Table1[[#This Row],[Age]]&lt;=16,"15-16",Table1[[#This Row],[Age]]&lt;19,"17-18")</f>
        <v>17-18</v>
      </c>
      <c r="G392" s="2" t="s">
        <v>758</v>
      </c>
      <c r="H392" s="3">
        <v>0.47499999999999998</v>
      </c>
      <c r="I392" s="3">
        <v>0.77900000000000003</v>
      </c>
      <c r="J392" s="3" t="str" cm="1">
        <f t="array" ref="J392">_xlfn.IFS(Table1[[#This Row],[Overall Attendance]]&gt;=0.6,"Good",Table1[[#This Row],[Overall Attendance]]&lt;0.6,"Bad")</f>
        <v>Good</v>
      </c>
      <c r="K392" s="4">
        <v>345467</v>
      </c>
      <c r="L392" s="4">
        <f t="shared" si="12"/>
        <v>4145604</v>
      </c>
      <c r="M392" s="4" t="str" cm="1">
        <f t="array" ref="M39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92" s="2">
        <v>3.4</v>
      </c>
      <c r="O392" s="2" t="str" cm="1">
        <f t="array" ref="O392">_xlfn.IFS(Table1[[#This Row],[Distance to School (km)]]&gt;=5,"Far",Table1[[#This Row],[Distance to School (km)]]&lt;5,"Near")</f>
        <v>Near</v>
      </c>
      <c r="P392" s="5">
        <f t="shared" si="13"/>
        <v>0.373</v>
      </c>
    </row>
    <row r="393" spans="1:16" ht="15" x14ac:dyDescent="0.25">
      <c r="A393" s="2" t="s">
        <v>398</v>
      </c>
      <c r="B393" s="2" t="s">
        <v>673</v>
      </c>
      <c r="C393" s="2" t="s">
        <v>714</v>
      </c>
      <c r="D393" s="2" t="s">
        <v>738</v>
      </c>
      <c r="E393" s="2">
        <v>18</v>
      </c>
      <c r="F393" s="2" t="str" cm="1">
        <f t="array" ref="F393">_xlfn.IFS(Table1[[#This Row],[Age]]&lt;=16,"15-16",Table1[[#This Row],[Age]]&lt;19,"17-18")</f>
        <v>17-18</v>
      </c>
      <c r="G393" s="2" t="s">
        <v>758</v>
      </c>
      <c r="H393" s="3">
        <v>0.77500000000000002</v>
      </c>
      <c r="I393" s="3">
        <v>0.97199999999999998</v>
      </c>
      <c r="J393" s="3" t="str" cm="1">
        <f t="array" ref="J393">_xlfn.IFS(Table1[[#This Row],[Overall Attendance]]&gt;=0.6,"Good",Table1[[#This Row],[Overall Attendance]]&lt;0.6,"Bad")</f>
        <v>Good</v>
      </c>
      <c r="K393" s="4">
        <v>99009</v>
      </c>
      <c r="L393" s="4">
        <f t="shared" si="12"/>
        <v>1188108</v>
      </c>
      <c r="M393" s="4" t="str" cm="1">
        <f t="array" ref="M39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93" s="2">
        <v>1.7</v>
      </c>
      <c r="O393" s="2" t="str" cm="1">
        <f t="array" ref="O393">_xlfn.IFS(Table1[[#This Row],[Distance to School (km)]]&gt;=5,"Far",Table1[[#This Row],[Distance to School (km)]]&lt;5,"Near")</f>
        <v>Near</v>
      </c>
      <c r="P393" s="5">
        <f t="shared" si="13"/>
        <v>0.12650000000000006</v>
      </c>
    </row>
    <row r="394" spans="1:16" ht="15" x14ac:dyDescent="0.25">
      <c r="A394" s="2" t="s">
        <v>399</v>
      </c>
      <c r="B394" s="2" t="s">
        <v>669</v>
      </c>
      <c r="C394" s="2" t="s">
        <v>688</v>
      </c>
      <c r="D394" s="2" t="s">
        <v>737</v>
      </c>
      <c r="E394" s="2">
        <v>18</v>
      </c>
      <c r="F394" s="2" t="str" cm="1">
        <f t="array" ref="F394">_xlfn.IFS(Table1[[#This Row],[Age]]&lt;=16,"15-16",Table1[[#This Row],[Age]]&lt;19,"17-18")</f>
        <v>17-18</v>
      </c>
      <c r="G394" s="2" t="s">
        <v>758</v>
      </c>
      <c r="H394" s="3">
        <v>0.55899999999999994</v>
      </c>
      <c r="I394" s="3">
        <v>0.67200000000000004</v>
      </c>
      <c r="J394" s="3" t="str" cm="1">
        <f t="array" ref="J394">_xlfn.IFS(Table1[[#This Row],[Overall Attendance]]&gt;=0.6,"Good",Table1[[#This Row],[Overall Attendance]]&lt;0.6,"Bad")</f>
        <v>Good</v>
      </c>
      <c r="K394" s="4">
        <v>25267</v>
      </c>
      <c r="L394" s="4">
        <f t="shared" si="12"/>
        <v>303204</v>
      </c>
      <c r="M394" s="4" t="str" cm="1">
        <f t="array" ref="M39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94" s="2">
        <v>10</v>
      </c>
      <c r="O394" s="2" t="str" cm="1">
        <f t="array" ref="O394">_xlfn.IFS(Table1[[#This Row],[Distance to School (km)]]&gt;=5,"Far",Table1[[#This Row],[Distance to School (km)]]&lt;5,"Near")</f>
        <v>Far</v>
      </c>
      <c r="P394" s="5">
        <f t="shared" si="13"/>
        <v>0.38450000000000006</v>
      </c>
    </row>
    <row r="395" spans="1:16" ht="15" hidden="1" x14ac:dyDescent="0.25">
      <c r="A395" s="2" t="s">
        <v>400</v>
      </c>
      <c r="B395" s="2" t="s">
        <v>679</v>
      </c>
      <c r="C395" s="2" t="s">
        <v>693</v>
      </c>
      <c r="D395" s="2" t="s">
        <v>741</v>
      </c>
      <c r="E395" s="2">
        <v>15</v>
      </c>
      <c r="F395" s="2" t="str" cm="1">
        <f t="array" ref="F395">_xlfn.IFS(Table1[[#This Row],[Age]]&lt;=16,"15-16",Table1[[#This Row],[Age]]&lt;19,"17-18")</f>
        <v>15-16</v>
      </c>
      <c r="G395" s="2" t="s">
        <v>758</v>
      </c>
      <c r="H395" s="3">
        <v>0.629</v>
      </c>
      <c r="I395" s="3">
        <v>0.86</v>
      </c>
      <c r="J395" s="3" t="str" cm="1">
        <f t="array" ref="J395">_xlfn.IFS(Table1[[#This Row],[Overall Attendance]]&gt;=0.6,"Good",Table1[[#This Row],[Overall Attendance]]&lt;0.6,"Bad")</f>
        <v>Good</v>
      </c>
      <c r="K395" s="4">
        <v>150375</v>
      </c>
      <c r="L395" s="4">
        <f t="shared" si="12"/>
        <v>1804500</v>
      </c>
      <c r="M395" s="4" t="str" cm="1">
        <f t="array" ref="M39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95" s="2">
        <v>8.6999999999999993</v>
      </c>
      <c r="O395" s="2" t="str" cm="1">
        <f t="array" ref="O395">_xlfn.IFS(Table1[[#This Row],[Distance to School (km)]]&gt;=5,"Far",Table1[[#This Row],[Distance to School (km)]]&lt;5,"Near")</f>
        <v>Far</v>
      </c>
      <c r="P395" s="5">
        <f t="shared" si="13"/>
        <v>0.25550000000000006</v>
      </c>
    </row>
    <row r="396" spans="1:16" ht="15" hidden="1" x14ac:dyDescent="0.25">
      <c r="A396" s="2" t="s">
        <v>401</v>
      </c>
      <c r="B396" s="2" t="s">
        <v>672</v>
      </c>
      <c r="C396" s="2" t="s">
        <v>700</v>
      </c>
      <c r="D396" s="2" t="s">
        <v>744</v>
      </c>
      <c r="E396" s="2">
        <v>16</v>
      </c>
      <c r="F396" s="2" t="str" cm="1">
        <f t="array" ref="F396">_xlfn.IFS(Table1[[#This Row],[Age]]&lt;=16,"15-16",Table1[[#This Row],[Age]]&lt;19,"17-18")</f>
        <v>15-16</v>
      </c>
      <c r="G396" s="2" t="s">
        <v>757</v>
      </c>
      <c r="H396" s="3">
        <v>0.85299999999999998</v>
      </c>
      <c r="I396" s="3">
        <v>0.83299999999999996</v>
      </c>
      <c r="J396" s="3" t="str" cm="1">
        <f t="array" ref="J396">_xlfn.IFS(Table1[[#This Row],[Overall Attendance]]&gt;=0.6,"Good",Table1[[#This Row],[Overall Attendance]]&lt;0.6,"Bad")</f>
        <v>Good</v>
      </c>
      <c r="K396" s="4">
        <v>46342</v>
      </c>
      <c r="L396" s="4">
        <f t="shared" si="12"/>
        <v>556104</v>
      </c>
      <c r="M396" s="4" t="str" cm="1">
        <f t="array" ref="M39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96" s="2">
        <v>9.5</v>
      </c>
      <c r="O396" s="2" t="str" cm="1">
        <f t="array" ref="O396">_xlfn.IFS(Table1[[#This Row],[Distance to School (km)]]&gt;=5,"Far",Table1[[#This Row],[Distance to School (km)]]&lt;5,"Near")</f>
        <v>Far</v>
      </c>
      <c r="P396" s="5">
        <f t="shared" si="13"/>
        <v>0.15700000000000003</v>
      </c>
    </row>
    <row r="397" spans="1:16" ht="15" x14ac:dyDescent="0.25">
      <c r="A397" s="2" t="s">
        <v>402</v>
      </c>
      <c r="B397" s="2" t="s">
        <v>644</v>
      </c>
      <c r="C397" s="2" t="s">
        <v>672</v>
      </c>
      <c r="D397" s="2" t="s">
        <v>749</v>
      </c>
      <c r="E397" s="2">
        <v>18</v>
      </c>
      <c r="F397" s="2" t="str" cm="1">
        <f t="array" ref="F397">_xlfn.IFS(Table1[[#This Row],[Age]]&lt;=16,"15-16",Table1[[#This Row],[Age]]&lt;19,"17-18")</f>
        <v>17-18</v>
      </c>
      <c r="G397" s="2" t="s">
        <v>757</v>
      </c>
      <c r="H397" s="3">
        <v>0.62</v>
      </c>
      <c r="I397" s="3">
        <v>0.82200000000000006</v>
      </c>
      <c r="J397" s="3" t="str" cm="1">
        <f t="array" ref="J397">_xlfn.IFS(Table1[[#This Row],[Overall Attendance]]&gt;=0.6,"Good",Table1[[#This Row],[Overall Attendance]]&lt;0.6,"Bad")</f>
        <v>Good</v>
      </c>
      <c r="K397" s="4">
        <v>136168</v>
      </c>
      <c r="L397" s="4">
        <f t="shared" si="12"/>
        <v>1634016</v>
      </c>
      <c r="M397" s="4" t="str" cm="1">
        <f t="array" ref="M39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97" s="2">
        <v>8.1999999999999993</v>
      </c>
      <c r="O397" s="2" t="str" cm="1">
        <f t="array" ref="O397">_xlfn.IFS(Table1[[#This Row],[Distance to School (km)]]&gt;=5,"Far",Table1[[#This Row],[Distance to School (km)]]&lt;5,"Near")</f>
        <v>Far</v>
      </c>
      <c r="P397" s="5">
        <f t="shared" si="13"/>
        <v>0.27899999999999991</v>
      </c>
    </row>
    <row r="398" spans="1:16" ht="15" x14ac:dyDescent="0.25">
      <c r="A398" s="2" t="s">
        <v>403</v>
      </c>
      <c r="B398" s="2" t="s">
        <v>650</v>
      </c>
      <c r="C398" s="2" t="s">
        <v>730</v>
      </c>
      <c r="D398" s="2" t="s">
        <v>738</v>
      </c>
      <c r="E398" s="2">
        <v>17</v>
      </c>
      <c r="F398" s="2" t="str" cm="1">
        <f t="array" ref="F398">_xlfn.IFS(Table1[[#This Row],[Age]]&lt;=16,"15-16",Table1[[#This Row],[Age]]&lt;19,"17-18")</f>
        <v>17-18</v>
      </c>
      <c r="G398" s="2" t="s">
        <v>757</v>
      </c>
      <c r="H398" s="3">
        <v>0.54299999999999993</v>
      </c>
      <c r="I398" s="3">
        <v>0.60499999999999998</v>
      </c>
      <c r="J398" s="3" t="str" cm="1">
        <f t="array" ref="J398">_xlfn.IFS(Table1[[#This Row],[Overall Attendance]]&gt;=0.6,"Good",Table1[[#This Row],[Overall Attendance]]&lt;0.6,"Bad")</f>
        <v>Good</v>
      </c>
      <c r="K398" s="4">
        <v>195177</v>
      </c>
      <c r="L398" s="4">
        <f t="shared" si="12"/>
        <v>2342124</v>
      </c>
      <c r="M398" s="4" t="str" cm="1">
        <f t="array" ref="M39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398" s="2">
        <v>4.5</v>
      </c>
      <c r="O398" s="2" t="str" cm="1">
        <f t="array" ref="O398">_xlfn.IFS(Table1[[#This Row],[Distance to School (km)]]&gt;=5,"Far",Table1[[#This Row],[Distance to School (km)]]&lt;5,"Near")</f>
        <v>Near</v>
      </c>
      <c r="P398" s="5">
        <f t="shared" si="13"/>
        <v>0.42600000000000005</v>
      </c>
    </row>
    <row r="399" spans="1:16" ht="15" x14ac:dyDescent="0.25">
      <c r="A399" s="2" t="s">
        <v>404</v>
      </c>
      <c r="B399" s="2" t="s">
        <v>655</v>
      </c>
      <c r="C399" s="2" t="s">
        <v>651</v>
      </c>
      <c r="D399" s="2" t="s">
        <v>744</v>
      </c>
      <c r="E399" s="2">
        <v>17</v>
      </c>
      <c r="F399" s="2" t="str" cm="1">
        <f t="array" ref="F399">_xlfn.IFS(Table1[[#This Row],[Age]]&lt;=16,"15-16",Table1[[#This Row],[Age]]&lt;19,"17-18")</f>
        <v>17-18</v>
      </c>
      <c r="G399" s="2" t="s">
        <v>757</v>
      </c>
      <c r="H399" s="3">
        <v>0.76200000000000001</v>
      </c>
      <c r="I399" s="3">
        <v>0.76400000000000001</v>
      </c>
      <c r="J399" s="3" t="str" cm="1">
        <f t="array" ref="J399">_xlfn.IFS(Table1[[#This Row],[Overall Attendance]]&gt;=0.6,"Good",Table1[[#This Row],[Overall Attendance]]&lt;0.6,"Bad")</f>
        <v>Good</v>
      </c>
      <c r="K399" s="4">
        <v>28555</v>
      </c>
      <c r="L399" s="4">
        <f t="shared" si="12"/>
        <v>342660</v>
      </c>
      <c r="M399" s="4" t="str" cm="1">
        <f t="array" ref="M39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399" s="2">
        <v>6.9</v>
      </c>
      <c r="O399" s="2" t="str" cm="1">
        <f t="array" ref="O399">_xlfn.IFS(Table1[[#This Row],[Distance to School (km)]]&gt;=5,"Far",Table1[[#This Row],[Distance to School (km)]]&lt;5,"Near")</f>
        <v>Far</v>
      </c>
      <c r="P399" s="5">
        <f t="shared" si="13"/>
        <v>0.23699999999999999</v>
      </c>
    </row>
    <row r="400" spans="1:16" ht="15" hidden="1" x14ac:dyDescent="0.25">
      <c r="A400" s="2" t="s">
        <v>405</v>
      </c>
      <c r="B400" s="2" t="s">
        <v>642</v>
      </c>
      <c r="C400" s="2" t="s">
        <v>720</v>
      </c>
      <c r="D400" s="2" t="s">
        <v>741</v>
      </c>
      <c r="E400" s="2">
        <v>16</v>
      </c>
      <c r="F400" s="2" t="str" cm="1">
        <f t="array" ref="F400">_xlfn.IFS(Table1[[#This Row],[Age]]&lt;=16,"15-16",Table1[[#This Row],[Age]]&lt;19,"17-18")</f>
        <v>15-16</v>
      </c>
      <c r="G400" s="2" t="s">
        <v>758</v>
      </c>
      <c r="H400" s="3">
        <v>0.77700000000000002</v>
      </c>
      <c r="I400" s="3">
        <v>0.69099999999999995</v>
      </c>
      <c r="J400" s="3" t="str" cm="1">
        <f t="array" ref="J400">_xlfn.IFS(Table1[[#This Row],[Overall Attendance]]&gt;=0.6,"Good",Table1[[#This Row],[Overall Attendance]]&lt;0.6,"Bad")</f>
        <v>Good</v>
      </c>
      <c r="K400" s="4">
        <v>316070</v>
      </c>
      <c r="L400" s="4">
        <f t="shared" si="12"/>
        <v>3792840</v>
      </c>
      <c r="M400" s="4" t="str" cm="1">
        <f t="array" ref="M40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00" s="2">
        <v>7</v>
      </c>
      <c r="O400" s="2" t="str" cm="1">
        <f t="array" ref="O400">_xlfn.IFS(Table1[[#This Row],[Distance to School (km)]]&gt;=5,"Far",Table1[[#This Row],[Distance to School (km)]]&lt;5,"Near")</f>
        <v>Far</v>
      </c>
      <c r="P400" s="5">
        <f t="shared" si="13"/>
        <v>0.26600000000000001</v>
      </c>
    </row>
    <row r="401" spans="1:16" ht="15" hidden="1" x14ac:dyDescent="0.25">
      <c r="A401" s="2" t="s">
        <v>406</v>
      </c>
      <c r="B401" s="2" t="s">
        <v>664</v>
      </c>
      <c r="C401" s="2" t="s">
        <v>714</v>
      </c>
      <c r="D401" s="2" t="s">
        <v>668</v>
      </c>
      <c r="E401" s="2">
        <v>16</v>
      </c>
      <c r="F401" s="2" t="str" cm="1">
        <f t="array" ref="F401">_xlfn.IFS(Table1[[#This Row],[Age]]&lt;=16,"15-16",Table1[[#This Row],[Age]]&lt;19,"17-18")</f>
        <v>15-16</v>
      </c>
      <c r="G401" s="2" t="s">
        <v>758</v>
      </c>
      <c r="H401" s="3">
        <v>0.46500000000000002</v>
      </c>
      <c r="I401" s="3">
        <v>0.85199999999999998</v>
      </c>
      <c r="J401" s="3" t="str" cm="1">
        <f t="array" ref="J401">_xlfn.IFS(Table1[[#This Row],[Overall Attendance]]&gt;=0.6,"Good",Table1[[#This Row],[Overall Attendance]]&lt;0.6,"Bad")</f>
        <v>Good</v>
      </c>
      <c r="K401" s="4">
        <v>20896</v>
      </c>
      <c r="L401" s="4">
        <f t="shared" si="12"/>
        <v>250752</v>
      </c>
      <c r="M401" s="4" t="str" cm="1">
        <f t="array" ref="M40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01" s="2">
        <v>4.9000000000000004</v>
      </c>
      <c r="O401" s="2" t="str" cm="1">
        <f t="array" ref="O401">_xlfn.IFS(Table1[[#This Row],[Distance to School (km)]]&gt;=5,"Far",Table1[[#This Row],[Distance to School (km)]]&lt;5,"Near")</f>
        <v>Near</v>
      </c>
      <c r="P401" s="5">
        <f t="shared" si="13"/>
        <v>0.34150000000000003</v>
      </c>
    </row>
    <row r="402" spans="1:16" ht="15" x14ac:dyDescent="0.25">
      <c r="A402" s="2" t="s">
        <v>407</v>
      </c>
      <c r="B402" s="2" t="s">
        <v>667</v>
      </c>
      <c r="C402" s="2" t="s">
        <v>732</v>
      </c>
      <c r="D402" s="2" t="s">
        <v>750</v>
      </c>
      <c r="E402" s="2">
        <v>17</v>
      </c>
      <c r="F402" s="2" t="str" cm="1">
        <f t="array" ref="F402">_xlfn.IFS(Table1[[#This Row],[Age]]&lt;=16,"15-16",Table1[[#This Row],[Age]]&lt;19,"17-18")</f>
        <v>17-18</v>
      </c>
      <c r="G402" s="2" t="s">
        <v>757</v>
      </c>
      <c r="H402" s="3">
        <v>0.75900000000000001</v>
      </c>
      <c r="I402" s="3">
        <v>0.78700000000000003</v>
      </c>
      <c r="J402" s="3" t="str" cm="1">
        <f t="array" ref="J402">_xlfn.IFS(Table1[[#This Row],[Overall Attendance]]&gt;=0.6,"Good",Table1[[#This Row],[Overall Attendance]]&lt;0.6,"Bad")</f>
        <v>Good</v>
      </c>
      <c r="K402" s="4">
        <v>134518</v>
      </c>
      <c r="L402" s="4">
        <f t="shared" si="12"/>
        <v>1614216</v>
      </c>
      <c r="M402" s="4" t="str" cm="1">
        <f t="array" ref="M40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02" s="2">
        <v>1.6</v>
      </c>
      <c r="O402" s="2" t="str" cm="1">
        <f t="array" ref="O402">_xlfn.IFS(Table1[[#This Row],[Distance to School (km)]]&gt;=5,"Far",Table1[[#This Row],[Distance to School (km)]]&lt;5,"Near")</f>
        <v>Near</v>
      </c>
      <c r="P402" s="5">
        <f t="shared" si="13"/>
        <v>0.22699999999999998</v>
      </c>
    </row>
    <row r="403" spans="1:16" ht="15" hidden="1" x14ac:dyDescent="0.25">
      <c r="A403" s="2" t="s">
        <v>408</v>
      </c>
      <c r="B403" s="2" t="s">
        <v>684</v>
      </c>
      <c r="C403" s="2" t="s">
        <v>668</v>
      </c>
      <c r="D403" s="2" t="s">
        <v>753</v>
      </c>
      <c r="E403" s="2">
        <v>16</v>
      </c>
      <c r="F403" s="2" t="str" cm="1">
        <f t="array" ref="F403">_xlfn.IFS(Table1[[#This Row],[Age]]&lt;=16,"15-16",Table1[[#This Row],[Age]]&lt;19,"17-18")</f>
        <v>15-16</v>
      </c>
      <c r="G403" s="2" t="s">
        <v>757</v>
      </c>
      <c r="H403" s="3">
        <v>0.58700000000000008</v>
      </c>
      <c r="I403" s="3">
        <v>0.88500000000000001</v>
      </c>
      <c r="J403" s="3" t="str" cm="1">
        <f t="array" ref="J403">_xlfn.IFS(Table1[[#This Row],[Overall Attendance]]&gt;=0.6,"Good",Table1[[#This Row],[Overall Attendance]]&lt;0.6,"Bad")</f>
        <v>Good</v>
      </c>
      <c r="K403" s="4">
        <v>67635</v>
      </c>
      <c r="L403" s="4">
        <f t="shared" si="12"/>
        <v>811620</v>
      </c>
      <c r="M403" s="4" t="str" cm="1">
        <f t="array" ref="M40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03" s="2">
        <v>6.2</v>
      </c>
      <c r="O403" s="2" t="str" cm="1">
        <f t="array" ref="O403">_xlfn.IFS(Table1[[#This Row],[Distance to School (km)]]&gt;=5,"Far",Table1[[#This Row],[Distance to School (km)]]&lt;5,"Near")</f>
        <v>Far</v>
      </c>
      <c r="P403" s="5">
        <f t="shared" si="13"/>
        <v>0.26400000000000001</v>
      </c>
    </row>
    <row r="404" spans="1:16" ht="15" hidden="1" x14ac:dyDescent="0.25">
      <c r="A404" s="2" t="s">
        <v>409</v>
      </c>
      <c r="B404" s="2" t="s">
        <v>668</v>
      </c>
      <c r="C404" s="2" t="s">
        <v>652</v>
      </c>
      <c r="D404" s="2" t="s">
        <v>741</v>
      </c>
      <c r="E404" s="2">
        <v>15</v>
      </c>
      <c r="F404" s="2" t="str" cm="1">
        <f t="array" ref="F404">_xlfn.IFS(Table1[[#This Row],[Age]]&lt;=16,"15-16",Table1[[#This Row],[Age]]&lt;19,"17-18")</f>
        <v>15-16</v>
      </c>
      <c r="G404" s="2" t="s">
        <v>757</v>
      </c>
      <c r="H404" s="3">
        <v>0.64200000000000002</v>
      </c>
      <c r="I404" s="3">
        <v>0.88500000000000001</v>
      </c>
      <c r="J404" s="3" t="str" cm="1">
        <f t="array" ref="J404">_xlfn.IFS(Table1[[#This Row],[Overall Attendance]]&gt;=0.6,"Good",Table1[[#This Row],[Overall Attendance]]&lt;0.6,"Bad")</f>
        <v>Good</v>
      </c>
      <c r="K404" s="4">
        <v>28182</v>
      </c>
      <c r="L404" s="4">
        <f t="shared" si="12"/>
        <v>338184</v>
      </c>
      <c r="M404" s="4" t="str" cm="1">
        <f t="array" ref="M40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04" s="2">
        <v>1.9</v>
      </c>
      <c r="O404" s="2" t="str" cm="1">
        <f t="array" ref="O404">_xlfn.IFS(Table1[[#This Row],[Distance to School (km)]]&gt;=5,"Far",Table1[[#This Row],[Distance to School (km)]]&lt;5,"Near")</f>
        <v>Near</v>
      </c>
      <c r="P404" s="5">
        <f t="shared" si="13"/>
        <v>0.23649999999999993</v>
      </c>
    </row>
    <row r="405" spans="1:16" ht="15" x14ac:dyDescent="0.25">
      <c r="A405" s="2" t="s">
        <v>410</v>
      </c>
      <c r="B405" s="2" t="s">
        <v>650</v>
      </c>
      <c r="C405" s="2" t="s">
        <v>707</v>
      </c>
      <c r="D405" s="2" t="s">
        <v>739</v>
      </c>
      <c r="E405" s="2">
        <v>17</v>
      </c>
      <c r="F405" s="2" t="str" cm="1">
        <f t="array" ref="F405">_xlfn.IFS(Table1[[#This Row],[Age]]&lt;=16,"15-16",Table1[[#This Row],[Age]]&lt;19,"17-18")</f>
        <v>17-18</v>
      </c>
      <c r="G405" s="2" t="s">
        <v>758</v>
      </c>
      <c r="H405" s="3">
        <v>0.80799999999999994</v>
      </c>
      <c r="I405" s="3">
        <v>0.623</v>
      </c>
      <c r="J405" s="3" t="str" cm="1">
        <f t="array" ref="J405">_xlfn.IFS(Table1[[#This Row],[Overall Attendance]]&gt;=0.6,"Good",Table1[[#This Row],[Overall Attendance]]&lt;0.6,"Bad")</f>
        <v>Good</v>
      </c>
      <c r="K405" s="4">
        <v>148654</v>
      </c>
      <c r="L405" s="4">
        <f t="shared" si="12"/>
        <v>1783848</v>
      </c>
      <c r="M405" s="4" t="str" cm="1">
        <f t="array" ref="M40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05" s="2">
        <v>6.2</v>
      </c>
      <c r="O405" s="2" t="str" cm="1">
        <f t="array" ref="O405">_xlfn.IFS(Table1[[#This Row],[Distance to School (km)]]&gt;=5,"Far",Table1[[#This Row],[Distance to School (km)]]&lt;5,"Near")</f>
        <v>Far</v>
      </c>
      <c r="P405" s="5">
        <f t="shared" si="13"/>
        <v>0.28449999999999998</v>
      </c>
    </row>
    <row r="406" spans="1:16" ht="15" hidden="1" x14ac:dyDescent="0.25">
      <c r="A406" s="2" t="s">
        <v>411</v>
      </c>
      <c r="B406" s="2" t="s">
        <v>642</v>
      </c>
      <c r="C406" s="2" t="s">
        <v>717</v>
      </c>
      <c r="D406" s="2" t="s">
        <v>741</v>
      </c>
      <c r="E406" s="2">
        <v>15</v>
      </c>
      <c r="F406" s="2" t="str" cm="1">
        <f t="array" ref="F406">_xlfn.IFS(Table1[[#This Row],[Age]]&lt;=16,"15-16",Table1[[#This Row],[Age]]&lt;19,"17-18")</f>
        <v>15-16</v>
      </c>
      <c r="G406" s="2" t="s">
        <v>758</v>
      </c>
      <c r="H406" s="3">
        <v>0.46</v>
      </c>
      <c r="I406" s="3">
        <v>0.92</v>
      </c>
      <c r="J406" s="3" t="str" cm="1">
        <f t="array" ref="J406">_xlfn.IFS(Table1[[#This Row],[Overall Attendance]]&gt;=0.6,"Good",Table1[[#This Row],[Overall Attendance]]&lt;0.6,"Bad")</f>
        <v>Good</v>
      </c>
      <c r="K406" s="4">
        <v>310934</v>
      </c>
      <c r="L406" s="4">
        <f t="shared" si="12"/>
        <v>3731208</v>
      </c>
      <c r="M406" s="4" t="str" cm="1">
        <f t="array" ref="M40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06" s="2">
        <v>11.3</v>
      </c>
      <c r="O406" s="2" t="str" cm="1">
        <f t="array" ref="O406">_xlfn.IFS(Table1[[#This Row],[Distance to School (km)]]&gt;=5,"Far",Table1[[#This Row],[Distance to School (km)]]&lt;5,"Near")</f>
        <v>Far</v>
      </c>
      <c r="P406" s="5">
        <f t="shared" si="13"/>
        <v>0.30999999999999994</v>
      </c>
    </row>
    <row r="407" spans="1:16" ht="15" hidden="1" x14ac:dyDescent="0.25">
      <c r="A407" s="2" t="s">
        <v>412</v>
      </c>
      <c r="B407" s="2" t="s">
        <v>678</v>
      </c>
      <c r="C407" s="2" t="s">
        <v>691</v>
      </c>
      <c r="D407" s="2" t="s">
        <v>739</v>
      </c>
      <c r="E407" s="2">
        <v>16</v>
      </c>
      <c r="F407" s="2" t="str" cm="1">
        <f t="array" ref="F407">_xlfn.IFS(Table1[[#This Row],[Age]]&lt;=16,"15-16",Table1[[#This Row],[Age]]&lt;19,"17-18")</f>
        <v>15-16</v>
      </c>
      <c r="G407" s="2" t="s">
        <v>758</v>
      </c>
      <c r="H407" s="3">
        <v>0.2</v>
      </c>
      <c r="I407" s="3">
        <v>0.3</v>
      </c>
      <c r="J407" s="3" t="str" cm="1">
        <f t="array" ref="J407">_xlfn.IFS(Table1[[#This Row],[Overall Attendance]]&gt;=0.6,"Good",Table1[[#This Row],[Overall Attendance]]&lt;0.6,"Bad")</f>
        <v>Bad</v>
      </c>
      <c r="K407" s="4">
        <v>42880</v>
      </c>
      <c r="L407" s="4">
        <f t="shared" si="12"/>
        <v>514560</v>
      </c>
      <c r="M407" s="4" t="str" cm="1">
        <f t="array" ref="M40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07" s="2">
        <v>0.6</v>
      </c>
      <c r="O407" s="2" t="str" cm="1">
        <f t="array" ref="O407">_xlfn.IFS(Table1[[#This Row],[Distance to School (km)]]&gt;=5,"Far",Table1[[#This Row],[Distance to School (km)]]&lt;5,"Near")</f>
        <v>Near</v>
      </c>
      <c r="P407" s="5">
        <f t="shared" si="13"/>
        <v>0.75</v>
      </c>
    </row>
    <row r="408" spans="1:16" ht="15" x14ac:dyDescent="0.25">
      <c r="A408" s="2" t="s">
        <v>413</v>
      </c>
      <c r="B408" s="2" t="s">
        <v>680</v>
      </c>
      <c r="C408" s="2" t="s">
        <v>734</v>
      </c>
      <c r="D408" s="2" t="s">
        <v>754</v>
      </c>
      <c r="E408" s="2">
        <v>17</v>
      </c>
      <c r="F408" s="2" t="str" cm="1">
        <f t="array" ref="F408">_xlfn.IFS(Table1[[#This Row],[Age]]&lt;=16,"15-16",Table1[[#This Row],[Age]]&lt;19,"17-18")</f>
        <v>17-18</v>
      </c>
      <c r="G408" s="2" t="s">
        <v>758</v>
      </c>
      <c r="H408" s="3">
        <v>0.46600000000000003</v>
      </c>
      <c r="I408" s="3">
        <v>0.97199999999999998</v>
      </c>
      <c r="J408" s="3" t="str" cm="1">
        <f t="array" ref="J408">_xlfn.IFS(Table1[[#This Row],[Overall Attendance]]&gt;=0.6,"Good",Table1[[#This Row],[Overall Attendance]]&lt;0.6,"Bad")</f>
        <v>Good</v>
      </c>
      <c r="K408" s="4">
        <v>134453</v>
      </c>
      <c r="L408" s="4">
        <f t="shared" si="12"/>
        <v>1613436</v>
      </c>
      <c r="M408" s="4" t="str" cm="1">
        <f t="array" ref="M40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08" s="2">
        <v>5.9</v>
      </c>
      <c r="O408" s="2" t="str" cm="1">
        <f t="array" ref="O408">_xlfn.IFS(Table1[[#This Row],[Distance to School (km)]]&gt;=5,"Far",Table1[[#This Row],[Distance to School (km)]]&lt;5,"Near")</f>
        <v>Far</v>
      </c>
      <c r="P408" s="5">
        <f t="shared" si="13"/>
        <v>0.28100000000000003</v>
      </c>
    </row>
    <row r="409" spans="1:16" ht="15" hidden="1" x14ac:dyDescent="0.25">
      <c r="A409" s="2" t="s">
        <v>414</v>
      </c>
      <c r="B409" s="2" t="s">
        <v>672</v>
      </c>
      <c r="C409" s="2" t="s">
        <v>717</v>
      </c>
      <c r="D409" s="2" t="s">
        <v>750</v>
      </c>
      <c r="E409" s="2">
        <v>16</v>
      </c>
      <c r="F409" s="2" t="str" cm="1">
        <f t="array" ref="F409">_xlfn.IFS(Table1[[#This Row],[Age]]&lt;=16,"15-16",Table1[[#This Row],[Age]]&lt;19,"17-18")</f>
        <v>15-16</v>
      </c>
      <c r="G409" s="2" t="s">
        <v>758</v>
      </c>
      <c r="H409" s="3">
        <v>0.66599999999999993</v>
      </c>
      <c r="I409" s="3">
        <v>0.97099999999999997</v>
      </c>
      <c r="J409" s="3" t="str" cm="1">
        <f t="array" ref="J409">_xlfn.IFS(Table1[[#This Row],[Overall Attendance]]&gt;=0.6,"Good",Table1[[#This Row],[Overall Attendance]]&lt;0.6,"Bad")</f>
        <v>Good</v>
      </c>
      <c r="K409" s="4">
        <v>273304</v>
      </c>
      <c r="L409" s="4">
        <f t="shared" si="12"/>
        <v>3279648</v>
      </c>
      <c r="M409" s="4" t="str" cm="1">
        <f t="array" ref="M40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09" s="2">
        <v>2.6</v>
      </c>
      <c r="O409" s="2" t="str" cm="1">
        <f t="array" ref="O409">_xlfn.IFS(Table1[[#This Row],[Distance to School (km)]]&gt;=5,"Far",Table1[[#This Row],[Distance to School (km)]]&lt;5,"Near")</f>
        <v>Near</v>
      </c>
      <c r="P409" s="5">
        <f t="shared" si="13"/>
        <v>0.18149999999999999</v>
      </c>
    </row>
    <row r="410" spans="1:16" ht="15" hidden="1" x14ac:dyDescent="0.25">
      <c r="A410" s="2" t="s">
        <v>415</v>
      </c>
      <c r="B410" s="2" t="s">
        <v>680</v>
      </c>
      <c r="C410" s="2" t="s">
        <v>708</v>
      </c>
      <c r="D410" s="2" t="s">
        <v>738</v>
      </c>
      <c r="E410" s="2">
        <v>15</v>
      </c>
      <c r="F410" s="2" t="str" cm="1">
        <f t="array" ref="F410">_xlfn.IFS(Table1[[#This Row],[Age]]&lt;=16,"15-16",Table1[[#This Row],[Age]]&lt;19,"17-18")</f>
        <v>15-16</v>
      </c>
      <c r="G410" s="2" t="s">
        <v>757</v>
      </c>
      <c r="H410" s="3">
        <v>0.43</v>
      </c>
      <c r="I410" s="3">
        <v>0.12</v>
      </c>
      <c r="J410" s="3" t="str" cm="1">
        <f t="array" ref="J410">_xlfn.IFS(Table1[[#This Row],[Overall Attendance]]&gt;=0.6,"Good",Table1[[#This Row],[Overall Attendance]]&lt;0.6,"Bad")</f>
        <v>Bad</v>
      </c>
      <c r="K410" s="4">
        <v>74962</v>
      </c>
      <c r="L410" s="4">
        <f t="shared" si="12"/>
        <v>899544</v>
      </c>
      <c r="M410" s="4" t="str" cm="1">
        <f t="array" ref="M41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10" s="2">
        <v>5.9</v>
      </c>
      <c r="O410" s="2" t="str" cm="1">
        <f t="array" ref="O410">_xlfn.IFS(Table1[[#This Row],[Distance to School (km)]]&gt;=5,"Far",Table1[[#This Row],[Distance to School (km)]]&lt;5,"Near")</f>
        <v>Far</v>
      </c>
      <c r="P410" s="5">
        <f t="shared" si="13"/>
        <v>0.72499999999999998</v>
      </c>
    </row>
    <row r="411" spans="1:16" ht="15" hidden="1" x14ac:dyDescent="0.25">
      <c r="A411" s="2" t="s">
        <v>416</v>
      </c>
      <c r="B411" s="2" t="s">
        <v>672</v>
      </c>
      <c r="C411" s="2" t="s">
        <v>729</v>
      </c>
      <c r="D411" s="2" t="s">
        <v>751</v>
      </c>
      <c r="E411" s="2">
        <v>15</v>
      </c>
      <c r="F411" s="2" t="str" cm="1">
        <f t="array" ref="F411">_xlfn.IFS(Table1[[#This Row],[Age]]&lt;=16,"15-16",Table1[[#This Row],[Age]]&lt;19,"17-18")</f>
        <v>15-16</v>
      </c>
      <c r="G411" s="2" t="s">
        <v>757</v>
      </c>
      <c r="H411" s="3">
        <v>0.85299999999999998</v>
      </c>
      <c r="I411" s="3">
        <v>0.81499999999999995</v>
      </c>
      <c r="J411" s="3" t="str" cm="1">
        <f t="array" ref="J411">_xlfn.IFS(Table1[[#This Row],[Overall Attendance]]&gt;=0.6,"Good",Table1[[#This Row],[Overall Attendance]]&lt;0.6,"Bad")</f>
        <v>Good</v>
      </c>
      <c r="K411" s="4">
        <v>282767</v>
      </c>
      <c r="L411" s="4">
        <f t="shared" si="12"/>
        <v>3393204</v>
      </c>
      <c r="M411" s="4" t="str" cm="1">
        <f t="array" ref="M41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11" s="2">
        <v>4</v>
      </c>
      <c r="O411" s="2" t="str" cm="1">
        <f t="array" ref="O411">_xlfn.IFS(Table1[[#This Row],[Distance to School (km)]]&gt;=5,"Far",Table1[[#This Row],[Distance to School (km)]]&lt;5,"Near")</f>
        <v>Near</v>
      </c>
      <c r="P411" s="5">
        <f t="shared" si="13"/>
        <v>0.16600000000000004</v>
      </c>
    </row>
    <row r="412" spans="1:16" ht="15" x14ac:dyDescent="0.25">
      <c r="A412" s="2" t="s">
        <v>417</v>
      </c>
      <c r="B412" s="2" t="s">
        <v>643</v>
      </c>
      <c r="C412" s="2" t="s">
        <v>720</v>
      </c>
      <c r="D412" s="2" t="s">
        <v>745</v>
      </c>
      <c r="E412" s="2">
        <v>17</v>
      </c>
      <c r="F412" s="2" t="str" cm="1">
        <f t="array" ref="F412">_xlfn.IFS(Table1[[#This Row],[Age]]&lt;=16,"15-16",Table1[[#This Row],[Age]]&lt;19,"17-18")</f>
        <v>17-18</v>
      </c>
      <c r="G412" s="2" t="s">
        <v>758</v>
      </c>
      <c r="H412" s="3">
        <v>0.64</v>
      </c>
      <c r="I412" s="3">
        <v>0.89500000000000002</v>
      </c>
      <c r="J412" s="3" t="str" cm="1">
        <f t="array" ref="J412">_xlfn.IFS(Table1[[#This Row],[Overall Attendance]]&gt;=0.6,"Good",Table1[[#This Row],[Overall Attendance]]&lt;0.6,"Bad")</f>
        <v>Good</v>
      </c>
      <c r="K412" s="4">
        <v>112623</v>
      </c>
      <c r="L412" s="4">
        <f t="shared" si="12"/>
        <v>1351476</v>
      </c>
      <c r="M412" s="4" t="str" cm="1">
        <f t="array" ref="M41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12" s="2">
        <v>3.5</v>
      </c>
      <c r="O412" s="2" t="str" cm="1">
        <f t="array" ref="O412">_xlfn.IFS(Table1[[#This Row],[Distance to School (km)]]&gt;=5,"Far",Table1[[#This Row],[Distance to School (km)]]&lt;5,"Near")</f>
        <v>Near</v>
      </c>
      <c r="P412" s="5">
        <f t="shared" si="13"/>
        <v>0.23249999999999993</v>
      </c>
    </row>
    <row r="413" spans="1:16" ht="15" x14ac:dyDescent="0.25">
      <c r="A413" s="2" t="s">
        <v>418</v>
      </c>
      <c r="B413" s="2" t="s">
        <v>671</v>
      </c>
      <c r="C413" s="2" t="s">
        <v>726</v>
      </c>
      <c r="D413" s="2" t="s">
        <v>750</v>
      </c>
      <c r="E413" s="2">
        <v>17</v>
      </c>
      <c r="F413" s="2" t="str" cm="1">
        <f t="array" ref="F413">_xlfn.IFS(Table1[[#This Row],[Age]]&lt;=16,"15-16",Table1[[#This Row],[Age]]&lt;19,"17-18")</f>
        <v>17-18</v>
      </c>
      <c r="G413" s="2" t="s">
        <v>758</v>
      </c>
      <c r="H413" s="3">
        <v>0.79500000000000004</v>
      </c>
      <c r="I413" s="3">
        <v>0.95900000000000007</v>
      </c>
      <c r="J413" s="3" t="str" cm="1">
        <f t="array" ref="J413">_xlfn.IFS(Table1[[#This Row],[Overall Attendance]]&gt;=0.6,"Good",Table1[[#This Row],[Overall Attendance]]&lt;0.6,"Bad")</f>
        <v>Good</v>
      </c>
      <c r="K413" s="4">
        <v>63039</v>
      </c>
      <c r="L413" s="4">
        <f t="shared" si="12"/>
        <v>756468</v>
      </c>
      <c r="M413" s="4" t="str" cm="1">
        <f t="array" ref="M41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13" s="2">
        <v>11.8</v>
      </c>
      <c r="O413" s="2" t="str" cm="1">
        <f t="array" ref="O413">_xlfn.IFS(Table1[[#This Row],[Distance to School (km)]]&gt;=5,"Far",Table1[[#This Row],[Distance to School (km)]]&lt;5,"Near")</f>
        <v>Far</v>
      </c>
      <c r="P413" s="5">
        <f t="shared" si="13"/>
        <v>0.123</v>
      </c>
    </row>
    <row r="414" spans="1:16" ht="15" hidden="1" x14ac:dyDescent="0.25">
      <c r="A414" s="2" t="s">
        <v>419</v>
      </c>
      <c r="B414" s="2" t="s">
        <v>678</v>
      </c>
      <c r="C414" s="2" t="s">
        <v>722</v>
      </c>
      <c r="D414" s="2" t="s">
        <v>756</v>
      </c>
      <c r="E414" s="2">
        <v>16</v>
      </c>
      <c r="F414" s="2" t="str" cm="1">
        <f t="array" ref="F414">_xlfn.IFS(Table1[[#This Row],[Age]]&lt;=16,"15-16",Table1[[#This Row],[Age]]&lt;19,"17-18")</f>
        <v>15-16</v>
      </c>
      <c r="G414" s="2" t="s">
        <v>758</v>
      </c>
      <c r="H414" s="3">
        <v>0.42499999999999999</v>
      </c>
      <c r="I414" s="3">
        <v>0.83299999999999996</v>
      </c>
      <c r="J414" s="3" t="str" cm="1">
        <f t="array" ref="J414">_xlfn.IFS(Table1[[#This Row],[Overall Attendance]]&gt;=0.6,"Good",Table1[[#This Row],[Overall Attendance]]&lt;0.6,"Bad")</f>
        <v>Good</v>
      </c>
      <c r="K414" s="4">
        <v>149948</v>
      </c>
      <c r="L414" s="4">
        <f t="shared" si="12"/>
        <v>1799376</v>
      </c>
      <c r="M414" s="4" t="str" cm="1">
        <f t="array" ref="M41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14" s="2">
        <v>5.8</v>
      </c>
      <c r="O414" s="2" t="str" cm="1">
        <f t="array" ref="O414">_xlfn.IFS(Table1[[#This Row],[Distance to School (km)]]&gt;=5,"Far",Table1[[#This Row],[Distance to School (km)]]&lt;5,"Near")</f>
        <v>Far</v>
      </c>
      <c r="P414" s="5">
        <f t="shared" si="13"/>
        <v>0.371</v>
      </c>
    </row>
    <row r="415" spans="1:16" ht="15" x14ac:dyDescent="0.25">
      <c r="A415" s="2" t="s">
        <v>420</v>
      </c>
      <c r="B415" s="2" t="s">
        <v>682</v>
      </c>
      <c r="C415" s="2" t="s">
        <v>700</v>
      </c>
      <c r="D415" s="2" t="s">
        <v>750</v>
      </c>
      <c r="E415" s="2">
        <v>17</v>
      </c>
      <c r="F415" s="2" t="str" cm="1">
        <f t="array" ref="F415">_xlfn.IFS(Table1[[#This Row],[Age]]&lt;=16,"15-16",Table1[[#This Row],[Age]]&lt;19,"17-18")</f>
        <v>17-18</v>
      </c>
      <c r="G415" s="2" t="s">
        <v>757</v>
      </c>
      <c r="H415" s="3">
        <v>0.51400000000000001</v>
      </c>
      <c r="I415" s="3">
        <v>0.72400000000000009</v>
      </c>
      <c r="J415" s="3" t="str" cm="1">
        <f t="array" ref="J415">_xlfn.IFS(Table1[[#This Row],[Overall Attendance]]&gt;=0.6,"Good",Table1[[#This Row],[Overall Attendance]]&lt;0.6,"Bad")</f>
        <v>Good</v>
      </c>
      <c r="K415" s="4">
        <v>110370</v>
      </c>
      <c r="L415" s="4">
        <f t="shared" si="12"/>
        <v>1324440</v>
      </c>
      <c r="M415" s="4" t="str" cm="1">
        <f t="array" ref="M41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15" s="2">
        <v>3.1</v>
      </c>
      <c r="O415" s="2" t="str" cm="1">
        <f t="array" ref="O415">_xlfn.IFS(Table1[[#This Row],[Distance to School (km)]]&gt;=5,"Far",Table1[[#This Row],[Distance to School (km)]]&lt;5,"Near")</f>
        <v>Near</v>
      </c>
      <c r="P415" s="5">
        <f t="shared" si="13"/>
        <v>0.38100000000000001</v>
      </c>
    </row>
    <row r="416" spans="1:16" ht="15" hidden="1" x14ac:dyDescent="0.25">
      <c r="A416" s="2" t="s">
        <v>421</v>
      </c>
      <c r="B416" s="2" t="s">
        <v>641</v>
      </c>
      <c r="C416" s="2" t="s">
        <v>713</v>
      </c>
      <c r="D416" s="2" t="s">
        <v>737</v>
      </c>
      <c r="E416" s="2">
        <v>16</v>
      </c>
      <c r="F416" s="2" t="str" cm="1">
        <f t="array" ref="F416">_xlfn.IFS(Table1[[#This Row],[Age]]&lt;=16,"15-16",Table1[[#This Row],[Age]]&lt;19,"17-18")</f>
        <v>15-16</v>
      </c>
      <c r="G416" s="2" t="s">
        <v>758</v>
      </c>
      <c r="H416" s="3">
        <v>0.35</v>
      </c>
      <c r="I416" s="3">
        <v>0.32</v>
      </c>
      <c r="J416" s="3" t="str" cm="1">
        <f t="array" ref="J416">_xlfn.IFS(Table1[[#This Row],[Overall Attendance]]&gt;=0.6,"Good",Table1[[#This Row],[Overall Attendance]]&lt;0.6,"Bad")</f>
        <v>Bad</v>
      </c>
      <c r="K416" s="4">
        <v>353858</v>
      </c>
      <c r="L416" s="4">
        <f t="shared" si="12"/>
        <v>4246296</v>
      </c>
      <c r="M416" s="4" t="str" cm="1">
        <f t="array" ref="M41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16" s="2">
        <v>5.3</v>
      </c>
      <c r="O416" s="2" t="str" cm="1">
        <f t="array" ref="O416">_xlfn.IFS(Table1[[#This Row],[Distance to School (km)]]&gt;=5,"Far",Table1[[#This Row],[Distance to School (km)]]&lt;5,"Near")</f>
        <v>Far</v>
      </c>
      <c r="P416" s="5">
        <f t="shared" si="13"/>
        <v>0.66500000000000004</v>
      </c>
    </row>
    <row r="417" spans="1:16" ht="15" hidden="1" x14ac:dyDescent="0.25">
      <c r="A417" s="2" t="s">
        <v>422</v>
      </c>
      <c r="B417" s="2" t="s">
        <v>668</v>
      </c>
      <c r="C417" s="2" t="s">
        <v>695</v>
      </c>
      <c r="D417" s="2" t="s">
        <v>668</v>
      </c>
      <c r="E417" s="2">
        <v>15</v>
      </c>
      <c r="F417" s="2" t="str" cm="1">
        <f t="array" ref="F417">_xlfn.IFS(Table1[[#This Row],[Age]]&lt;=16,"15-16",Table1[[#This Row],[Age]]&lt;19,"17-18")</f>
        <v>15-16</v>
      </c>
      <c r="G417" s="2" t="s">
        <v>757</v>
      </c>
      <c r="H417" s="3">
        <v>0.32</v>
      </c>
      <c r="I417" s="3">
        <v>0.44</v>
      </c>
      <c r="J417" s="3" t="str" cm="1">
        <f t="array" ref="J417">_xlfn.IFS(Table1[[#This Row],[Overall Attendance]]&gt;=0.6,"Good",Table1[[#This Row],[Overall Attendance]]&lt;0.6,"Bad")</f>
        <v>Bad</v>
      </c>
      <c r="K417" s="4">
        <v>243755</v>
      </c>
      <c r="L417" s="4">
        <f t="shared" si="12"/>
        <v>2925060</v>
      </c>
      <c r="M417" s="4" t="str" cm="1">
        <f t="array" ref="M41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17" s="2">
        <v>1.7</v>
      </c>
      <c r="O417" s="2" t="str" cm="1">
        <f t="array" ref="O417">_xlfn.IFS(Table1[[#This Row],[Distance to School (km)]]&gt;=5,"Far",Table1[[#This Row],[Distance to School (km)]]&lt;5,"Near")</f>
        <v>Near</v>
      </c>
      <c r="P417" s="5">
        <f t="shared" si="13"/>
        <v>0.62</v>
      </c>
    </row>
    <row r="418" spans="1:16" ht="15" x14ac:dyDescent="0.25">
      <c r="A418" s="2" t="s">
        <v>423</v>
      </c>
      <c r="B418" s="2" t="s">
        <v>649</v>
      </c>
      <c r="C418" s="2" t="s">
        <v>694</v>
      </c>
      <c r="D418" s="2" t="s">
        <v>746</v>
      </c>
      <c r="E418" s="2">
        <v>18</v>
      </c>
      <c r="F418" s="2" t="str" cm="1">
        <f t="array" ref="F418">_xlfn.IFS(Table1[[#This Row],[Age]]&lt;=16,"15-16",Table1[[#This Row],[Age]]&lt;19,"17-18")</f>
        <v>17-18</v>
      </c>
      <c r="G418" s="2" t="s">
        <v>758</v>
      </c>
      <c r="H418" s="3">
        <v>0.63900000000000001</v>
      </c>
      <c r="I418" s="3">
        <v>0.69900000000000007</v>
      </c>
      <c r="J418" s="3" t="str" cm="1">
        <f t="array" ref="J418">_xlfn.IFS(Table1[[#This Row],[Overall Attendance]]&gt;=0.6,"Good",Table1[[#This Row],[Overall Attendance]]&lt;0.6,"Bad")</f>
        <v>Good</v>
      </c>
      <c r="K418" s="4">
        <v>56812</v>
      </c>
      <c r="L418" s="4">
        <f t="shared" si="12"/>
        <v>681744</v>
      </c>
      <c r="M418" s="4" t="str" cm="1">
        <f t="array" ref="M41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18" s="2">
        <v>1.5</v>
      </c>
      <c r="O418" s="2" t="str" cm="1">
        <f t="array" ref="O418">_xlfn.IFS(Table1[[#This Row],[Distance to School (km)]]&gt;=5,"Far",Table1[[#This Row],[Distance to School (km)]]&lt;5,"Near")</f>
        <v>Near</v>
      </c>
      <c r="P418" s="5">
        <f t="shared" si="13"/>
        <v>0.33099999999999996</v>
      </c>
    </row>
    <row r="419" spans="1:16" ht="15" x14ac:dyDescent="0.25">
      <c r="A419" s="2" t="s">
        <v>424</v>
      </c>
      <c r="B419" s="2" t="s">
        <v>668</v>
      </c>
      <c r="C419" s="2" t="s">
        <v>696</v>
      </c>
      <c r="D419" s="2" t="s">
        <v>738</v>
      </c>
      <c r="E419" s="2">
        <v>17</v>
      </c>
      <c r="F419" s="2" t="str" cm="1">
        <f t="array" ref="F419">_xlfn.IFS(Table1[[#This Row],[Age]]&lt;=16,"15-16",Table1[[#This Row],[Age]]&lt;19,"17-18")</f>
        <v>17-18</v>
      </c>
      <c r="G419" s="2" t="s">
        <v>758</v>
      </c>
      <c r="H419" s="3">
        <v>0.58399999999999996</v>
      </c>
      <c r="I419" s="3">
        <v>0.95700000000000007</v>
      </c>
      <c r="J419" s="3" t="str" cm="1">
        <f t="array" ref="J419">_xlfn.IFS(Table1[[#This Row],[Overall Attendance]]&gt;=0.6,"Good",Table1[[#This Row],[Overall Attendance]]&lt;0.6,"Bad")</f>
        <v>Good</v>
      </c>
      <c r="K419" s="4">
        <v>24301</v>
      </c>
      <c r="L419" s="4">
        <f t="shared" si="12"/>
        <v>291612</v>
      </c>
      <c r="M419" s="4" t="str" cm="1">
        <f t="array" ref="M41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19" s="2">
        <v>8.1</v>
      </c>
      <c r="O419" s="2" t="str" cm="1">
        <f t="array" ref="O419">_xlfn.IFS(Table1[[#This Row],[Distance to School (km)]]&gt;=5,"Far",Table1[[#This Row],[Distance to School (km)]]&lt;5,"Near")</f>
        <v>Far</v>
      </c>
      <c r="P419" s="5">
        <f t="shared" si="13"/>
        <v>0.22950000000000004</v>
      </c>
    </row>
    <row r="420" spans="1:16" ht="15" x14ac:dyDescent="0.25">
      <c r="A420" s="2" t="s">
        <v>425</v>
      </c>
      <c r="B420" s="2" t="s">
        <v>656</v>
      </c>
      <c r="C420" s="2" t="s">
        <v>697</v>
      </c>
      <c r="D420" s="2" t="s">
        <v>741</v>
      </c>
      <c r="E420" s="2">
        <v>18</v>
      </c>
      <c r="F420" s="2" t="str" cm="1">
        <f t="array" ref="F420">_xlfn.IFS(Table1[[#This Row],[Age]]&lt;=16,"15-16",Table1[[#This Row],[Age]]&lt;19,"17-18")</f>
        <v>17-18</v>
      </c>
      <c r="G420" s="2" t="s">
        <v>758</v>
      </c>
      <c r="H420" s="3">
        <v>0.55799999999999994</v>
      </c>
      <c r="I420" s="3">
        <v>0.80400000000000005</v>
      </c>
      <c r="J420" s="3" t="str" cm="1">
        <f t="array" ref="J420">_xlfn.IFS(Table1[[#This Row],[Overall Attendance]]&gt;=0.6,"Good",Table1[[#This Row],[Overall Attendance]]&lt;0.6,"Bad")</f>
        <v>Good</v>
      </c>
      <c r="K420" s="4">
        <v>354883</v>
      </c>
      <c r="L420" s="4">
        <f t="shared" si="12"/>
        <v>4258596</v>
      </c>
      <c r="M420" s="4" t="str" cm="1">
        <f t="array" ref="M42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20" s="2">
        <v>7.8</v>
      </c>
      <c r="O420" s="2" t="str" cm="1">
        <f t="array" ref="O420">_xlfn.IFS(Table1[[#This Row],[Distance to School (km)]]&gt;=5,"Far",Table1[[#This Row],[Distance to School (km)]]&lt;5,"Near")</f>
        <v>Far</v>
      </c>
      <c r="P420" s="5">
        <f t="shared" si="13"/>
        <v>0.31899999999999995</v>
      </c>
    </row>
    <row r="421" spans="1:16" ht="15" hidden="1" x14ac:dyDescent="0.25">
      <c r="A421" s="2" t="s">
        <v>426</v>
      </c>
      <c r="B421" s="2" t="s">
        <v>681</v>
      </c>
      <c r="C421" s="2" t="s">
        <v>726</v>
      </c>
      <c r="D421" s="2" t="s">
        <v>712</v>
      </c>
      <c r="E421" s="2">
        <v>15</v>
      </c>
      <c r="F421" s="2" t="str" cm="1">
        <f t="array" ref="F421">_xlfn.IFS(Table1[[#This Row],[Age]]&lt;=16,"15-16",Table1[[#This Row],[Age]]&lt;19,"17-18")</f>
        <v>15-16</v>
      </c>
      <c r="G421" s="2" t="s">
        <v>758</v>
      </c>
      <c r="H421" s="3">
        <v>0.627</v>
      </c>
      <c r="I421" s="3">
        <v>0.86299999999999999</v>
      </c>
      <c r="J421" s="3" t="str" cm="1">
        <f t="array" ref="J421">_xlfn.IFS(Table1[[#This Row],[Overall Attendance]]&gt;=0.6,"Good",Table1[[#This Row],[Overall Attendance]]&lt;0.6,"Bad")</f>
        <v>Good</v>
      </c>
      <c r="K421" s="4">
        <v>73972</v>
      </c>
      <c r="L421" s="4">
        <f t="shared" si="12"/>
        <v>887664</v>
      </c>
      <c r="M421" s="4" t="str" cm="1">
        <f t="array" ref="M42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21" s="2">
        <v>4</v>
      </c>
      <c r="O421" s="2" t="str" cm="1">
        <f t="array" ref="O421">_xlfn.IFS(Table1[[#This Row],[Distance to School (km)]]&gt;=5,"Far",Table1[[#This Row],[Distance to School (km)]]&lt;5,"Near")</f>
        <v>Near</v>
      </c>
      <c r="P421" s="5">
        <f t="shared" si="13"/>
        <v>0.255</v>
      </c>
    </row>
    <row r="422" spans="1:16" ht="15" x14ac:dyDescent="0.25">
      <c r="A422" s="2" t="s">
        <v>427</v>
      </c>
      <c r="B422" s="2" t="s">
        <v>683</v>
      </c>
      <c r="C422" s="2" t="s">
        <v>689</v>
      </c>
      <c r="D422" s="2" t="s">
        <v>753</v>
      </c>
      <c r="E422" s="2">
        <v>17</v>
      </c>
      <c r="F422" s="2" t="str" cm="1">
        <f t="array" ref="F422">_xlfn.IFS(Table1[[#This Row],[Age]]&lt;=16,"15-16",Table1[[#This Row],[Age]]&lt;19,"17-18")</f>
        <v>17-18</v>
      </c>
      <c r="G422" s="2" t="s">
        <v>757</v>
      </c>
      <c r="H422" s="3">
        <v>0.23</v>
      </c>
      <c r="I422" s="3">
        <v>0.2</v>
      </c>
      <c r="J422" s="3" t="str" cm="1">
        <f t="array" ref="J422">_xlfn.IFS(Table1[[#This Row],[Overall Attendance]]&gt;=0.6,"Good",Table1[[#This Row],[Overall Attendance]]&lt;0.6,"Bad")</f>
        <v>Bad</v>
      </c>
      <c r="K422" s="4">
        <v>36119</v>
      </c>
      <c r="L422" s="4">
        <f t="shared" si="12"/>
        <v>433428</v>
      </c>
      <c r="M422" s="4" t="str" cm="1">
        <f t="array" ref="M42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22" s="2">
        <v>9.3000000000000007</v>
      </c>
      <c r="O422" s="2" t="str" cm="1">
        <f t="array" ref="O422">_xlfn.IFS(Table1[[#This Row],[Distance to School (km)]]&gt;=5,"Far",Table1[[#This Row],[Distance to School (km)]]&lt;5,"Near")</f>
        <v>Far</v>
      </c>
      <c r="P422" s="5">
        <f t="shared" si="13"/>
        <v>0.78499999999999992</v>
      </c>
    </row>
    <row r="423" spans="1:16" ht="15" x14ac:dyDescent="0.25">
      <c r="A423" s="2" t="s">
        <v>428</v>
      </c>
      <c r="B423" s="2" t="s">
        <v>650</v>
      </c>
      <c r="C423" s="2" t="s">
        <v>732</v>
      </c>
      <c r="D423" s="2" t="s">
        <v>712</v>
      </c>
      <c r="E423" s="2">
        <v>18</v>
      </c>
      <c r="F423" s="2" t="str" cm="1">
        <f t="array" ref="F423">_xlfn.IFS(Table1[[#This Row],[Age]]&lt;=16,"15-16",Table1[[#This Row],[Age]]&lt;19,"17-18")</f>
        <v>17-18</v>
      </c>
      <c r="G423" s="2" t="s">
        <v>757</v>
      </c>
      <c r="H423" s="3">
        <v>0.53299999999999992</v>
      </c>
      <c r="I423" s="3">
        <v>0.89300000000000002</v>
      </c>
      <c r="J423" s="3" t="str" cm="1">
        <f t="array" ref="J423">_xlfn.IFS(Table1[[#This Row],[Overall Attendance]]&gt;=0.6,"Good",Table1[[#This Row],[Overall Attendance]]&lt;0.6,"Bad")</f>
        <v>Good</v>
      </c>
      <c r="K423" s="4">
        <v>78647</v>
      </c>
      <c r="L423" s="4">
        <f t="shared" si="12"/>
        <v>943764</v>
      </c>
      <c r="M423" s="4" t="str" cm="1">
        <f t="array" ref="M42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23" s="2">
        <v>8.6999999999999993</v>
      </c>
      <c r="O423" s="2" t="str" cm="1">
        <f t="array" ref="O423">_xlfn.IFS(Table1[[#This Row],[Distance to School (km)]]&gt;=5,"Far",Table1[[#This Row],[Distance to School (km)]]&lt;5,"Near")</f>
        <v>Far</v>
      </c>
      <c r="P423" s="5">
        <f t="shared" si="13"/>
        <v>0.28700000000000003</v>
      </c>
    </row>
    <row r="424" spans="1:16" ht="15" x14ac:dyDescent="0.25">
      <c r="A424" s="2" t="s">
        <v>429</v>
      </c>
      <c r="B424" s="2" t="s">
        <v>665</v>
      </c>
      <c r="C424" s="2" t="s">
        <v>696</v>
      </c>
      <c r="D424" s="2" t="s">
        <v>742</v>
      </c>
      <c r="E424" s="2">
        <v>17</v>
      </c>
      <c r="F424" s="2" t="str" cm="1">
        <f t="array" ref="F424">_xlfn.IFS(Table1[[#This Row],[Age]]&lt;=16,"15-16",Table1[[#This Row],[Age]]&lt;19,"17-18")</f>
        <v>17-18</v>
      </c>
      <c r="G424" s="2" t="s">
        <v>758</v>
      </c>
      <c r="H424" s="3">
        <v>0.54200000000000004</v>
      </c>
      <c r="I424" s="3">
        <v>0.85499999999999998</v>
      </c>
      <c r="J424" s="3" t="str" cm="1">
        <f t="array" ref="J424">_xlfn.IFS(Table1[[#This Row],[Overall Attendance]]&gt;=0.6,"Good",Table1[[#This Row],[Overall Attendance]]&lt;0.6,"Bad")</f>
        <v>Good</v>
      </c>
      <c r="K424" s="4">
        <v>190955</v>
      </c>
      <c r="L424" s="4">
        <f t="shared" si="12"/>
        <v>2291460</v>
      </c>
      <c r="M424" s="4" t="str" cm="1">
        <f t="array" ref="M42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24" s="2">
        <v>3.8</v>
      </c>
      <c r="O424" s="2" t="str" cm="1">
        <f t="array" ref="O424">_xlfn.IFS(Table1[[#This Row],[Distance to School (km)]]&gt;=5,"Far",Table1[[#This Row],[Distance to School (km)]]&lt;5,"Near")</f>
        <v>Near</v>
      </c>
      <c r="P424" s="5">
        <f t="shared" si="13"/>
        <v>0.30149999999999999</v>
      </c>
    </row>
    <row r="425" spans="1:16" ht="15" hidden="1" x14ac:dyDescent="0.25">
      <c r="A425" s="2" t="s">
        <v>430</v>
      </c>
      <c r="B425" s="2" t="s">
        <v>679</v>
      </c>
      <c r="C425" s="2" t="s">
        <v>724</v>
      </c>
      <c r="D425" s="2" t="s">
        <v>752</v>
      </c>
      <c r="E425" s="2">
        <v>15</v>
      </c>
      <c r="F425" s="2" t="str" cm="1">
        <f t="array" ref="F425">_xlfn.IFS(Table1[[#This Row],[Age]]&lt;=16,"15-16",Table1[[#This Row],[Age]]&lt;19,"17-18")</f>
        <v>15-16</v>
      </c>
      <c r="G425" s="2" t="s">
        <v>758</v>
      </c>
      <c r="H425" s="3">
        <v>0.65799999999999992</v>
      </c>
      <c r="I425" s="3">
        <v>0.85699999999999998</v>
      </c>
      <c r="J425" s="3" t="str" cm="1">
        <f t="array" ref="J425">_xlfn.IFS(Table1[[#This Row],[Overall Attendance]]&gt;=0.6,"Good",Table1[[#This Row],[Overall Attendance]]&lt;0.6,"Bad")</f>
        <v>Good</v>
      </c>
      <c r="K425" s="4">
        <v>271339</v>
      </c>
      <c r="L425" s="4">
        <f t="shared" si="12"/>
        <v>3256068</v>
      </c>
      <c r="M425" s="4" t="str" cm="1">
        <f t="array" ref="M42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25" s="2">
        <v>2.7</v>
      </c>
      <c r="O425" s="2" t="str" cm="1">
        <f t="array" ref="O425">_xlfn.IFS(Table1[[#This Row],[Distance to School (km)]]&gt;=5,"Far",Table1[[#This Row],[Distance to School (km)]]&lt;5,"Near")</f>
        <v>Near</v>
      </c>
      <c r="P425" s="5">
        <f t="shared" si="13"/>
        <v>0.24250000000000005</v>
      </c>
    </row>
    <row r="426" spans="1:16" ht="15" hidden="1" x14ac:dyDescent="0.25">
      <c r="A426" s="2" t="s">
        <v>431</v>
      </c>
      <c r="B426" s="2" t="s">
        <v>656</v>
      </c>
      <c r="C426" s="2" t="s">
        <v>702</v>
      </c>
      <c r="D426" s="2" t="s">
        <v>746</v>
      </c>
      <c r="E426" s="2">
        <v>16</v>
      </c>
      <c r="F426" s="2" t="str" cm="1">
        <f t="array" ref="F426">_xlfn.IFS(Table1[[#This Row],[Age]]&lt;=16,"15-16",Table1[[#This Row],[Age]]&lt;19,"17-18")</f>
        <v>15-16</v>
      </c>
      <c r="G426" s="2" t="s">
        <v>757</v>
      </c>
      <c r="H426" s="3">
        <v>0.64200000000000002</v>
      </c>
      <c r="I426" s="3">
        <v>0.86299999999999999</v>
      </c>
      <c r="J426" s="3" t="str" cm="1">
        <f t="array" ref="J426">_xlfn.IFS(Table1[[#This Row],[Overall Attendance]]&gt;=0.6,"Good",Table1[[#This Row],[Overall Attendance]]&lt;0.6,"Bad")</f>
        <v>Good</v>
      </c>
      <c r="K426" s="4">
        <v>28820</v>
      </c>
      <c r="L426" s="4">
        <f t="shared" si="12"/>
        <v>345840</v>
      </c>
      <c r="M426" s="4" t="str" cm="1">
        <f t="array" ref="M42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26" s="2">
        <v>3.2</v>
      </c>
      <c r="O426" s="2" t="str" cm="1">
        <f t="array" ref="O426">_xlfn.IFS(Table1[[#This Row],[Distance to School (km)]]&gt;=5,"Far",Table1[[#This Row],[Distance to School (km)]]&lt;5,"Near")</f>
        <v>Near</v>
      </c>
      <c r="P426" s="5">
        <f t="shared" si="13"/>
        <v>0.24750000000000005</v>
      </c>
    </row>
    <row r="427" spans="1:16" ht="15" hidden="1" x14ac:dyDescent="0.25">
      <c r="A427" s="2" t="s">
        <v>432</v>
      </c>
      <c r="B427" s="2" t="s">
        <v>659</v>
      </c>
      <c r="C427" s="2" t="s">
        <v>646</v>
      </c>
      <c r="D427" s="2" t="s">
        <v>754</v>
      </c>
      <c r="E427" s="2">
        <v>16</v>
      </c>
      <c r="F427" s="2" t="str" cm="1">
        <f t="array" ref="F427">_xlfn.IFS(Table1[[#This Row],[Age]]&lt;=16,"15-16",Table1[[#This Row],[Age]]&lt;19,"17-18")</f>
        <v>15-16</v>
      </c>
      <c r="G427" s="2" t="s">
        <v>757</v>
      </c>
      <c r="H427" s="3">
        <v>0.435</v>
      </c>
      <c r="I427" s="3">
        <v>0.90400000000000003</v>
      </c>
      <c r="J427" s="3" t="str" cm="1">
        <f t="array" ref="J427">_xlfn.IFS(Table1[[#This Row],[Overall Attendance]]&gt;=0.6,"Good",Table1[[#This Row],[Overall Attendance]]&lt;0.6,"Bad")</f>
        <v>Good</v>
      </c>
      <c r="K427" s="4">
        <v>36331</v>
      </c>
      <c r="L427" s="4">
        <f t="shared" si="12"/>
        <v>435972</v>
      </c>
      <c r="M427" s="4" t="str" cm="1">
        <f t="array" ref="M42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27" s="2">
        <v>4.3</v>
      </c>
      <c r="O427" s="2" t="str" cm="1">
        <f t="array" ref="O427">_xlfn.IFS(Table1[[#This Row],[Distance to School (km)]]&gt;=5,"Far",Table1[[#This Row],[Distance to School (km)]]&lt;5,"Near")</f>
        <v>Near</v>
      </c>
      <c r="P427" s="5">
        <f t="shared" si="13"/>
        <v>0.33050000000000002</v>
      </c>
    </row>
    <row r="428" spans="1:16" ht="15" hidden="1" x14ac:dyDescent="0.25">
      <c r="A428" s="2" t="s">
        <v>433</v>
      </c>
      <c r="B428" s="2" t="s">
        <v>673</v>
      </c>
      <c r="C428" s="2" t="s">
        <v>692</v>
      </c>
      <c r="D428" s="2" t="s">
        <v>742</v>
      </c>
      <c r="E428" s="2">
        <v>16</v>
      </c>
      <c r="F428" s="2" t="str" cm="1">
        <f t="array" ref="F428">_xlfn.IFS(Table1[[#This Row],[Age]]&lt;=16,"15-16",Table1[[#This Row],[Age]]&lt;19,"17-18")</f>
        <v>15-16</v>
      </c>
      <c r="G428" s="2" t="s">
        <v>757</v>
      </c>
      <c r="H428" s="3">
        <v>0.54700000000000004</v>
      </c>
      <c r="I428" s="3">
        <v>0.80299999999999994</v>
      </c>
      <c r="J428" s="3" t="str" cm="1">
        <f t="array" ref="J428">_xlfn.IFS(Table1[[#This Row],[Overall Attendance]]&gt;=0.6,"Good",Table1[[#This Row],[Overall Attendance]]&lt;0.6,"Bad")</f>
        <v>Good</v>
      </c>
      <c r="K428" s="4">
        <v>49350</v>
      </c>
      <c r="L428" s="4">
        <f t="shared" si="12"/>
        <v>592200</v>
      </c>
      <c r="M428" s="4" t="str" cm="1">
        <f t="array" ref="M42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28" s="2">
        <v>11.7</v>
      </c>
      <c r="O428" s="2" t="str" cm="1">
        <f t="array" ref="O428">_xlfn.IFS(Table1[[#This Row],[Distance to School (km)]]&gt;=5,"Far",Table1[[#This Row],[Distance to School (km)]]&lt;5,"Near")</f>
        <v>Far</v>
      </c>
      <c r="P428" s="5">
        <f t="shared" si="13"/>
        <v>0.32499999999999996</v>
      </c>
    </row>
    <row r="429" spans="1:16" ht="15" x14ac:dyDescent="0.25">
      <c r="A429" s="2" t="s">
        <v>434</v>
      </c>
      <c r="B429" s="2" t="s">
        <v>674</v>
      </c>
      <c r="C429" s="2" t="s">
        <v>714</v>
      </c>
      <c r="D429" s="2" t="s">
        <v>736</v>
      </c>
      <c r="E429" s="2">
        <v>17</v>
      </c>
      <c r="F429" s="2" t="str" cm="1">
        <f t="array" ref="F429">_xlfn.IFS(Table1[[#This Row],[Age]]&lt;=16,"15-16",Table1[[#This Row],[Age]]&lt;19,"17-18")</f>
        <v>17-18</v>
      </c>
      <c r="G429" s="2" t="s">
        <v>758</v>
      </c>
      <c r="H429" s="3">
        <v>0.61799999999999999</v>
      </c>
      <c r="I429" s="3">
        <v>0.79400000000000004</v>
      </c>
      <c r="J429" s="3" t="str" cm="1">
        <f t="array" ref="J429">_xlfn.IFS(Table1[[#This Row],[Overall Attendance]]&gt;=0.6,"Good",Table1[[#This Row],[Overall Attendance]]&lt;0.6,"Bad")</f>
        <v>Good</v>
      </c>
      <c r="K429" s="4">
        <v>98191</v>
      </c>
      <c r="L429" s="4">
        <f t="shared" si="12"/>
        <v>1178292</v>
      </c>
      <c r="M429" s="4" t="str" cm="1">
        <f t="array" ref="M42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29" s="2">
        <v>5.9</v>
      </c>
      <c r="O429" s="2" t="str" cm="1">
        <f t="array" ref="O429">_xlfn.IFS(Table1[[#This Row],[Distance to School (km)]]&gt;=5,"Far",Table1[[#This Row],[Distance to School (km)]]&lt;5,"Near")</f>
        <v>Far</v>
      </c>
      <c r="P429" s="5">
        <f t="shared" si="13"/>
        <v>0.29400000000000004</v>
      </c>
    </row>
    <row r="430" spans="1:16" ht="15" hidden="1" x14ac:dyDescent="0.25">
      <c r="A430" s="2" t="s">
        <v>435</v>
      </c>
      <c r="B430" s="2" t="s">
        <v>653</v>
      </c>
      <c r="C430" s="2" t="s">
        <v>717</v>
      </c>
      <c r="D430" s="2" t="s">
        <v>738</v>
      </c>
      <c r="E430" s="2">
        <v>15</v>
      </c>
      <c r="F430" s="2" t="str" cm="1">
        <f t="array" ref="F430">_xlfn.IFS(Table1[[#This Row],[Age]]&lt;=16,"15-16",Table1[[#This Row],[Age]]&lt;19,"17-18")</f>
        <v>15-16</v>
      </c>
      <c r="G430" s="2" t="s">
        <v>758</v>
      </c>
      <c r="H430" s="3">
        <v>0.89300000000000002</v>
      </c>
      <c r="I430" s="3">
        <v>0.88200000000000001</v>
      </c>
      <c r="J430" s="3" t="str" cm="1">
        <f t="array" ref="J430">_xlfn.IFS(Table1[[#This Row],[Overall Attendance]]&gt;=0.6,"Good",Table1[[#This Row],[Overall Attendance]]&lt;0.6,"Bad")</f>
        <v>Good</v>
      </c>
      <c r="K430" s="4">
        <v>133203</v>
      </c>
      <c r="L430" s="4">
        <f t="shared" si="12"/>
        <v>1598436</v>
      </c>
      <c r="M430" s="4" t="str" cm="1">
        <f t="array" ref="M43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30" s="2">
        <v>2.8</v>
      </c>
      <c r="O430" s="2" t="str" cm="1">
        <f t="array" ref="O430">_xlfn.IFS(Table1[[#This Row],[Distance to School (km)]]&gt;=5,"Far",Table1[[#This Row],[Distance to School (km)]]&lt;5,"Near")</f>
        <v>Near</v>
      </c>
      <c r="P430" s="5">
        <f t="shared" si="13"/>
        <v>0.11250000000000004</v>
      </c>
    </row>
    <row r="431" spans="1:16" ht="15" hidden="1" x14ac:dyDescent="0.25">
      <c r="A431" s="2" t="s">
        <v>436</v>
      </c>
      <c r="B431" s="2" t="s">
        <v>668</v>
      </c>
      <c r="C431" s="2" t="s">
        <v>731</v>
      </c>
      <c r="D431" s="2" t="s">
        <v>641</v>
      </c>
      <c r="E431" s="2">
        <v>15</v>
      </c>
      <c r="F431" s="2" t="str" cm="1">
        <f t="array" ref="F431">_xlfn.IFS(Table1[[#This Row],[Age]]&lt;=16,"15-16",Table1[[#This Row],[Age]]&lt;19,"17-18")</f>
        <v>15-16</v>
      </c>
      <c r="G431" s="2" t="s">
        <v>757</v>
      </c>
      <c r="H431" s="3">
        <v>0.60099999999999998</v>
      </c>
      <c r="I431" s="3">
        <v>0.82700000000000007</v>
      </c>
      <c r="J431" s="3" t="str" cm="1">
        <f t="array" ref="J431">_xlfn.IFS(Table1[[#This Row],[Overall Attendance]]&gt;=0.6,"Good",Table1[[#This Row],[Overall Attendance]]&lt;0.6,"Bad")</f>
        <v>Good</v>
      </c>
      <c r="K431" s="4">
        <v>231366</v>
      </c>
      <c r="L431" s="4">
        <f t="shared" si="12"/>
        <v>2776392</v>
      </c>
      <c r="M431" s="4" t="str" cm="1">
        <f t="array" ref="M43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31" s="2">
        <v>9.6</v>
      </c>
      <c r="O431" s="2" t="str" cm="1">
        <f t="array" ref="O431">_xlfn.IFS(Table1[[#This Row],[Distance to School (km)]]&gt;=5,"Far",Table1[[#This Row],[Distance to School (km)]]&lt;5,"Near")</f>
        <v>Far</v>
      </c>
      <c r="P431" s="5">
        <f t="shared" si="13"/>
        <v>0.28600000000000003</v>
      </c>
    </row>
    <row r="432" spans="1:16" ht="15" x14ac:dyDescent="0.25">
      <c r="A432" s="2" t="s">
        <v>437</v>
      </c>
      <c r="B432" s="2" t="s">
        <v>681</v>
      </c>
      <c r="C432" s="2" t="s">
        <v>676</v>
      </c>
      <c r="D432" s="2" t="s">
        <v>646</v>
      </c>
      <c r="E432" s="2">
        <v>17</v>
      </c>
      <c r="F432" s="2" t="str" cm="1">
        <f t="array" ref="F432">_xlfn.IFS(Table1[[#This Row],[Age]]&lt;=16,"15-16",Table1[[#This Row],[Age]]&lt;19,"17-18")</f>
        <v>17-18</v>
      </c>
      <c r="G432" s="2" t="s">
        <v>757</v>
      </c>
      <c r="H432" s="3">
        <v>0.5</v>
      </c>
      <c r="I432" s="3">
        <v>0.1</v>
      </c>
      <c r="J432" s="3" t="str" cm="1">
        <f t="array" ref="J432">_xlfn.IFS(Table1[[#This Row],[Overall Attendance]]&gt;=0.6,"Good",Table1[[#This Row],[Overall Attendance]]&lt;0.6,"Bad")</f>
        <v>Bad</v>
      </c>
      <c r="K432" s="4">
        <v>22932</v>
      </c>
      <c r="L432" s="4">
        <f t="shared" si="12"/>
        <v>275184</v>
      </c>
      <c r="M432" s="4" t="str" cm="1">
        <f t="array" ref="M43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32" s="2">
        <v>8.4</v>
      </c>
      <c r="O432" s="2" t="str" cm="1">
        <f t="array" ref="O432">_xlfn.IFS(Table1[[#This Row],[Distance to School (km)]]&gt;=5,"Far",Table1[[#This Row],[Distance to School (km)]]&lt;5,"Near")</f>
        <v>Far</v>
      </c>
      <c r="P432" s="5">
        <f t="shared" si="13"/>
        <v>0.7</v>
      </c>
    </row>
    <row r="433" spans="1:16" ht="15" x14ac:dyDescent="0.25">
      <c r="A433" s="2" t="s">
        <v>438</v>
      </c>
      <c r="B433" s="2" t="s">
        <v>646</v>
      </c>
      <c r="C433" s="2" t="s">
        <v>702</v>
      </c>
      <c r="D433" s="2" t="s">
        <v>641</v>
      </c>
      <c r="E433" s="2">
        <v>17</v>
      </c>
      <c r="F433" s="2" t="str" cm="1">
        <f t="array" ref="F433">_xlfn.IFS(Table1[[#This Row],[Age]]&lt;=16,"15-16",Table1[[#This Row],[Age]]&lt;19,"17-18")</f>
        <v>17-18</v>
      </c>
      <c r="G433" s="2" t="s">
        <v>757</v>
      </c>
      <c r="H433" s="3">
        <v>0.70400000000000007</v>
      </c>
      <c r="I433" s="3">
        <v>0.92200000000000004</v>
      </c>
      <c r="J433" s="3" t="str" cm="1">
        <f t="array" ref="J433">_xlfn.IFS(Table1[[#This Row],[Overall Attendance]]&gt;=0.6,"Good",Table1[[#This Row],[Overall Attendance]]&lt;0.6,"Bad")</f>
        <v>Good</v>
      </c>
      <c r="K433" s="4">
        <v>163943</v>
      </c>
      <c r="L433" s="4">
        <f t="shared" si="12"/>
        <v>1967316</v>
      </c>
      <c r="M433" s="4" t="str" cm="1">
        <f t="array" ref="M43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33" s="2">
        <v>11.8</v>
      </c>
      <c r="O433" s="2" t="str" cm="1">
        <f t="array" ref="O433">_xlfn.IFS(Table1[[#This Row],[Distance to School (km)]]&gt;=5,"Far",Table1[[#This Row],[Distance to School (km)]]&lt;5,"Near")</f>
        <v>Far</v>
      </c>
      <c r="P433" s="5">
        <f t="shared" si="13"/>
        <v>0.18699999999999994</v>
      </c>
    </row>
    <row r="434" spans="1:16" ht="15" x14ac:dyDescent="0.25">
      <c r="A434" s="2" t="s">
        <v>439</v>
      </c>
      <c r="B434" s="2" t="s">
        <v>655</v>
      </c>
      <c r="C434" s="2" t="s">
        <v>718</v>
      </c>
      <c r="D434" s="2" t="s">
        <v>746</v>
      </c>
      <c r="E434" s="2">
        <v>18</v>
      </c>
      <c r="F434" s="2" t="str" cm="1">
        <f t="array" ref="F434">_xlfn.IFS(Table1[[#This Row],[Age]]&lt;=16,"15-16",Table1[[#This Row],[Age]]&lt;19,"17-18")</f>
        <v>17-18</v>
      </c>
      <c r="G434" s="2" t="s">
        <v>758</v>
      </c>
      <c r="H434" s="3">
        <v>0.57799999999999996</v>
      </c>
      <c r="I434" s="3">
        <v>0.73299999999999998</v>
      </c>
      <c r="J434" s="3" t="str" cm="1">
        <f t="array" ref="J434">_xlfn.IFS(Table1[[#This Row],[Overall Attendance]]&gt;=0.6,"Good",Table1[[#This Row],[Overall Attendance]]&lt;0.6,"Bad")</f>
        <v>Good</v>
      </c>
      <c r="K434" s="4">
        <v>327220</v>
      </c>
      <c r="L434" s="4">
        <f t="shared" si="12"/>
        <v>3926640</v>
      </c>
      <c r="M434" s="4" t="str" cm="1">
        <f t="array" ref="M43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34" s="2">
        <v>6.9</v>
      </c>
      <c r="O434" s="2" t="str" cm="1">
        <f t="array" ref="O434">_xlfn.IFS(Table1[[#This Row],[Distance to School (km)]]&gt;=5,"Far",Table1[[#This Row],[Distance to School (km)]]&lt;5,"Near")</f>
        <v>Far</v>
      </c>
      <c r="P434" s="5">
        <f t="shared" si="13"/>
        <v>0.34450000000000003</v>
      </c>
    </row>
    <row r="435" spans="1:16" ht="15" x14ac:dyDescent="0.25">
      <c r="A435" s="2" t="s">
        <v>440</v>
      </c>
      <c r="B435" s="2" t="s">
        <v>684</v>
      </c>
      <c r="C435" s="2" t="s">
        <v>676</v>
      </c>
      <c r="D435" s="2" t="s">
        <v>712</v>
      </c>
      <c r="E435" s="2">
        <v>18</v>
      </c>
      <c r="F435" s="2" t="str" cm="1">
        <f t="array" ref="F435">_xlfn.IFS(Table1[[#This Row],[Age]]&lt;=16,"15-16",Table1[[#This Row],[Age]]&lt;19,"17-18")</f>
        <v>17-18</v>
      </c>
      <c r="G435" s="2" t="s">
        <v>757</v>
      </c>
      <c r="H435" s="3">
        <v>0.50800000000000001</v>
      </c>
      <c r="I435" s="3">
        <v>0.95299999999999996</v>
      </c>
      <c r="J435" s="3" t="str" cm="1">
        <f t="array" ref="J435">_xlfn.IFS(Table1[[#This Row],[Overall Attendance]]&gt;=0.6,"Good",Table1[[#This Row],[Overall Attendance]]&lt;0.6,"Bad")</f>
        <v>Good</v>
      </c>
      <c r="K435" s="4">
        <v>29021</v>
      </c>
      <c r="L435" s="4">
        <f t="shared" si="12"/>
        <v>348252</v>
      </c>
      <c r="M435" s="4" t="str" cm="1">
        <f t="array" ref="M43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35" s="2">
        <v>6.6</v>
      </c>
      <c r="O435" s="2" t="str" cm="1">
        <f t="array" ref="O435">_xlfn.IFS(Table1[[#This Row],[Distance to School (km)]]&gt;=5,"Far",Table1[[#This Row],[Distance to School (km)]]&lt;5,"Near")</f>
        <v>Far</v>
      </c>
      <c r="P435" s="5">
        <f t="shared" si="13"/>
        <v>0.26950000000000007</v>
      </c>
    </row>
    <row r="436" spans="1:16" ht="15" x14ac:dyDescent="0.25">
      <c r="A436" s="2" t="s">
        <v>441</v>
      </c>
      <c r="B436" s="2" t="s">
        <v>665</v>
      </c>
      <c r="C436" s="2" t="s">
        <v>711</v>
      </c>
      <c r="D436" s="2" t="s">
        <v>712</v>
      </c>
      <c r="E436" s="2">
        <v>17</v>
      </c>
      <c r="F436" s="2" t="str" cm="1">
        <f t="array" ref="F436">_xlfn.IFS(Table1[[#This Row],[Age]]&lt;=16,"15-16",Table1[[#This Row],[Age]]&lt;19,"17-18")</f>
        <v>17-18</v>
      </c>
      <c r="G436" s="2" t="s">
        <v>758</v>
      </c>
      <c r="H436" s="3">
        <v>0.61699999999999999</v>
      </c>
      <c r="I436" s="3">
        <v>0.82299999999999995</v>
      </c>
      <c r="J436" s="3" t="str" cm="1">
        <f t="array" ref="J436">_xlfn.IFS(Table1[[#This Row],[Overall Attendance]]&gt;=0.6,"Good",Table1[[#This Row],[Overall Attendance]]&lt;0.6,"Bad")</f>
        <v>Good</v>
      </c>
      <c r="K436" s="4">
        <v>83159</v>
      </c>
      <c r="L436" s="4">
        <f t="shared" si="12"/>
        <v>997908</v>
      </c>
      <c r="M436" s="4" t="str" cm="1">
        <f t="array" ref="M43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36" s="2">
        <v>10.7</v>
      </c>
      <c r="O436" s="2" t="str" cm="1">
        <f t="array" ref="O436">_xlfn.IFS(Table1[[#This Row],[Distance to School (km)]]&gt;=5,"Far",Table1[[#This Row],[Distance to School (km)]]&lt;5,"Near")</f>
        <v>Far</v>
      </c>
      <c r="P436" s="5">
        <f t="shared" si="13"/>
        <v>0.28000000000000003</v>
      </c>
    </row>
    <row r="437" spans="1:16" ht="15" x14ac:dyDescent="0.25">
      <c r="A437" s="2" t="s">
        <v>442</v>
      </c>
      <c r="B437" s="2" t="s">
        <v>679</v>
      </c>
      <c r="C437" s="2" t="s">
        <v>735</v>
      </c>
      <c r="D437" s="2" t="s">
        <v>668</v>
      </c>
      <c r="E437" s="2">
        <v>17</v>
      </c>
      <c r="F437" s="2" t="str" cm="1">
        <f t="array" ref="F437">_xlfn.IFS(Table1[[#This Row],[Age]]&lt;=16,"15-16",Table1[[#This Row],[Age]]&lt;19,"17-18")</f>
        <v>17-18</v>
      </c>
      <c r="G437" s="2" t="s">
        <v>757</v>
      </c>
      <c r="H437" s="3">
        <v>0.83700000000000008</v>
      </c>
      <c r="I437" s="3">
        <v>0.78200000000000003</v>
      </c>
      <c r="J437" s="3" t="str" cm="1">
        <f t="array" ref="J437">_xlfn.IFS(Table1[[#This Row],[Overall Attendance]]&gt;=0.6,"Good",Table1[[#This Row],[Overall Attendance]]&lt;0.6,"Bad")</f>
        <v>Good</v>
      </c>
      <c r="K437" s="4">
        <v>84346</v>
      </c>
      <c r="L437" s="4">
        <f t="shared" si="12"/>
        <v>1012152</v>
      </c>
      <c r="M437" s="4" t="str" cm="1">
        <f t="array" ref="M43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37" s="2">
        <v>7.5</v>
      </c>
      <c r="O437" s="2" t="str" cm="1">
        <f t="array" ref="O437">_xlfn.IFS(Table1[[#This Row],[Distance to School (km)]]&gt;=5,"Far",Table1[[#This Row],[Distance to School (km)]]&lt;5,"Near")</f>
        <v>Far</v>
      </c>
      <c r="P437" s="5">
        <f t="shared" si="13"/>
        <v>0.19049999999999989</v>
      </c>
    </row>
    <row r="438" spans="1:16" ht="15" hidden="1" x14ac:dyDescent="0.25">
      <c r="A438" s="2" t="s">
        <v>443</v>
      </c>
      <c r="B438" s="2" t="s">
        <v>667</v>
      </c>
      <c r="C438" s="2" t="s">
        <v>712</v>
      </c>
      <c r="D438" s="2" t="s">
        <v>743</v>
      </c>
      <c r="E438" s="2">
        <v>16</v>
      </c>
      <c r="F438" s="2" t="str" cm="1">
        <f t="array" ref="F438">_xlfn.IFS(Table1[[#This Row],[Age]]&lt;=16,"15-16",Table1[[#This Row],[Age]]&lt;19,"17-18")</f>
        <v>15-16</v>
      </c>
      <c r="G438" s="2" t="s">
        <v>758</v>
      </c>
      <c r="H438" s="3">
        <v>0.76500000000000001</v>
      </c>
      <c r="I438" s="3">
        <v>0.90300000000000002</v>
      </c>
      <c r="J438" s="3" t="str" cm="1">
        <f t="array" ref="J438">_xlfn.IFS(Table1[[#This Row],[Overall Attendance]]&gt;=0.6,"Good",Table1[[#This Row],[Overall Attendance]]&lt;0.6,"Bad")</f>
        <v>Good</v>
      </c>
      <c r="K438" s="4">
        <v>58505</v>
      </c>
      <c r="L438" s="4">
        <f t="shared" si="12"/>
        <v>702060</v>
      </c>
      <c r="M438" s="4" t="str" cm="1">
        <f t="array" ref="M43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38" s="2">
        <v>1.7</v>
      </c>
      <c r="O438" s="2" t="str" cm="1">
        <f t="array" ref="O438">_xlfn.IFS(Table1[[#This Row],[Distance to School (km)]]&gt;=5,"Far",Table1[[#This Row],[Distance to School (km)]]&lt;5,"Near")</f>
        <v>Near</v>
      </c>
      <c r="P438" s="5">
        <f t="shared" si="13"/>
        <v>0.16599999999999993</v>
      </c>
    </row>
    <row r="439" spans="1:16" ht="15" hidden="1" x14ac:dyDescent="0.25">
      <c r="A439" s="2" t="s">
        <v>444</v>
      </c>
      <c r="B439" s="2" t="s">
        <v>675</v>
      </c>
      <c r="C439" s="2" t="s">
        <v>702</v>
      </c>
      <c r="D439" s="2" t="s">
        <v>641</v>
      </c>
      <c r="E439" s="2">
        <v>16</v>
      </c>
      <c r="F439" s="2" t="str" cm="1">
        <f t="array" ref="F439">_xlfn.IFS(Table1[[#This Row],[Age]]&lt;=16,"15-16",Table1[[#This Row],[Age]]&lt;19,"17-18")</f>
        <v>15-16</v>
      </c>
      <c r="G439" s="2" t="s">
        <v>757</v>
      </c>
      <c r="H439" s="3">
        <v>0.71099999999999997</v>
      </c>
      <c r="I439" s="3">
        <v>0.69499999999999995</v>
      </c>
      <c r="J439" s="3" t="str" cm="1">
        <f t="array" ref="J439">_xlfn.IFS(Table1[[#This Row],[Overall Attendance]]&gt;=0.6,"Good",Table1[[#This Row],[Overall Attendance]]&lt;0.6,"Bad")</f>
        <v>Good</v>
      </c>
      <c r="K439" s="4">
        <v>191923</v>
      </c>
      <c r="L439" s="4">
        <f t="shared" si="12"/>
        <v>2303076</v>
      </c>
      <c r="M439" s="4" t="str" cm="1">
        <f t="array" ref="M43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39" s="2">
        <v>1.1000000000000001</v>
      </c>
      <c r="O439" s="2" t="str" cm="1">
        <f t="array" ref="O439">_xlfn.IFS(Table1[[#This Row],[Distance to School (km)]]&gt;=5,"Far",Table1[[#This Row],[Distance to School (km)]]&lt;5,"Near")</f>
        <v>Near</v>
      </c>
      <c r="P439" s="5">
        <f t="shared" si="13"/>
        <v>0.29700000000000004</v>
      </c>
    </row>
    <row r="440" spans="1:16" ht="15" x14ac:dyDescent="0.25">
      <c r="A440" s="2" t="s">
        <v>445</v>
      </c>
      <c r="B440" s="2" t="s">
        <v>659</v>
      </c>
      <c r="C440" s="2" t="s">
        <v>685</v>
      </c>
      <c r="D440" s="2" t="s">
        <v>641</v>
      </c>
      <c r="E440" s="2">
        <v>18</v>
      </c>
      <c r="F440" s="2" t="str" cm="1">
        <f t="array" ref="F440">_xlfn.IFS(Table1[[#This Row],[Age]]&lt;=16,"15-16",Table1[[#This Row],[Age]]&lt;19,"17-18")</f>
        <v>17-18</v>
      </c>
      <c r="G440" s="2" t="s">
        <v>757</v>
      </c>
      <c r="H440" s="3">
        <v>0.36799999999999999</v>
      </c>
      <c r="I440" s="3">
        <v>0.83099999999999996</v>
      </c>
      <c r="J440" s="3" t="str" cm="1">
        <f t="array" ref="J440">_xlfn.IFS(Table1[[#This Row],[Overall Attendance]]&gt;=0.6,"Good",Table1[[#This Row],[Overall Attendance]]&lt;0.6,"Bad")</f>
        <v>Good</v>
      </c>
      <c r="K440" s="4">
        <v>183745</v>
      </c>
      <c r="L440" s="4">
        <f t="shared" si="12"/>
        <v>2204940</v>
      </c>
      <c r="M440" s="4" t="str" cm="1">
        <f t="array" ref="M44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40" s="2">
        <v>6.9</v>
      </c>
      <c r="O440" s="2" t="str" cm="1">
        <f t="array" ref="O440">_xlfn.IFS(Table1[[#This Row],[Distance to School (km)]]&gt;=5,"Far",Table1[[#This Row],[Distance to School (km)]]&lt;5,"Near")</f>
        <v>Far</v>
      </c>
      <c r="P440" s="5">
        <f t="shared" si="13"/>
        <v>0.40050000000000008</v>
      </c>
    </row>
    <row r="441" spans="1:16" ht="15" hidden="1" x14ac:dyDescent="0.25">
      <c r="A441" s="2" t="s">
        <v>446</v>
      </c>
      <c r="B441" s="2" t="s">
        <v>649</v>
      </c>
      <c r="C441" s="2" t="s">
        <v>688</v>
      </c>
      <c r="D441" s="2" t="s">
        <v>737</v>
      </c>
      <c r="E441" s="2">
        <v>16</v>
      </c>
      <c r="F441" s="2" t="str" cm="1">
        <f t="array" ref="F441">_xlfn.IFS(Table1[[#This Row],[Age]]&lt;=16,"15-16",Table1[[#This Row],[Age]]&lt;19,"17-18")</f>
        <v>15-16</v>
      </c>
      <c r="G441" s="2" t="s">
        <v>758</v>
      </c>
      <c r="H441" s="3">
        <v>0.1</v>
      </c>
      <c r="I441" s="3">
        <v>0.2</v>
      </c>
      <c r="J441" s="3" t="str" cm="1">
        <f t="array" ref="J441">_xlfn.IFS(Table1[[#This Row],[Overall Attendance]]&gt;=0.6,"Good",Table1[[#This Row],[Overall Attendance]]&lt;0.6,"Bad")</f>
        <v>Bad</v>
      </c>
      <c r="K441" s="4">
        <v>22306</v>
      </c>
      <c r="L441" s="4">
        <f t="shared" si="12"/>
        <v>267672</v>
      </c>
      <c r="M441" s="4" t="str" cm="1">
        <f t="array" ref="M44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41" s="2">
        <v>1.7</v>
      </c>
      <c r="O441" s="2" t="str" cm="1">
        <f t="array" ref="O441">_xlfn.IFS(Table1[[#This Row],[Distance to School (km)]]&gt;=5,"Far",Table1[[#This Row],[Distance to School (km)]]&lt;5,"Near")</f>
        <v>Near</v>
      </c>
      <c r="P441" s="5">
        <f t="shared" si="13"/>
        <v>0.85</v>
      </c>
    </row>
    <row r="442" spans="1:16" ht="15" x14ac:dyDescent="0.25">
      <c r="A442" s="2" t="s">
        <v>447</v>
      </c>
      <c r="B442" s="2" t="s">
        <v>655</v>
      </c>
      <c r="C442" s="2" t="s">
        <v>724</v>
      </c>
      <c r="D442" s="2" t="s">
        <v>756</v>
      </c>
      <c r="E442" s="2">
        <v>17</v>
      </c>
      <c r="F442" s="2" t="str" cm="1">
        <f t="array" ref="F442">_xlfn.IFS(Table1[[#This Row],[Age]]&lt;=16,"15-16",Table1[[#This Row],[Age]]&lt;19,"17-18")</f>
        <v>17-18</v>
      </c>
      <c r="G442" s="2" t="s">
        <v>758</v>
      </c>
      <c r="H442" s="3">
        <v>0.53400000000000003</v>
      </c>
      <c r="I442" s="3">
        <v>0.71200000000000008</v>
      </c>
      <c r="J442" s="3" t="str" cm="1">
        <f t="array" ref="J442">_xlfn.IFS(Table1[[#This Row],[Overall Attendance]]&gt;=0.6,"Good",Table1[[#This Row],[Overall Attendance]]&lt;0.6,"Bad")</f>
        <v>Good</v>
      </c>
      <c r="K442" s="4">
        <v>346314</v>
      </c>
      <c r="L442" s="4">
        <f t="shared" si="12"/>
        <v>4155768</v>
      </c>
      <c r="M442" s="4" t="str" cm="1">
        <f t="array" ref="M44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42" s="2">
        <v>9.1</v>
      </c>
      <c r="O442" s="2" t="str" cm="1">
        <f t="array" ref="O442">_xlfn.IFS(Table1[[#This Row],[Distance to School (km)]]&gt;=5,"Far",Table1[[#This Row],[Distance to School (km)]]&lt;5,"Near")</f>
        <v>Far</v>
      </c>
      <c r="P442" s="5">
        <f t="shared" si="13"/>
        <v>0.377</v>
      </c>
    </row>
    <row r="443" spans="1:16" ht="15" x14ac:dyDescent="0.25">
      <c r="A443" s="2" t="s">
        <v>448</v>
      </c>
      <c r="B443" s="2" t="s">
        <v>663</v>
      </c>
      <c r="C443" s="2" t="s">
        <v>713</v>
      </c>
      <c r="D443" s="2" t="s">
        <v>750</v>
      </c>
      <c r="E443" s="2">
        <v>18</v>
      </c>
      <c r="F443" s="2" t="str" cm="1">
        <f t="array" ref="F443">_xlfn.IFS(Table1[[#This Row],[Age]]&lt;=16,"15-16",Table1[[#This Row],[Age]]&lt;19,"17-18")</f>
        <v>17-18</v>
      </c>
      <c r="G443" s="2" t="s">
        <v>758</v>
      </c>
      <c r="H443" s="3">
        <v>0.67400000000000004</v>
      </c>
      <c r="I443" s="3">
        <v>0.77900000000000003</v>
      </c>
      <c r="J443" s="3" t="str" cm="1">
        <f t="array" ref="J443">_xlfn.IFS(Table1[[#This Row],[Overall Attendance]]&gt;=0.6,"Good",Table1[[#This Row],[Overall Attendance]]&lt;0.6,"Bad")</f>
        <v>Good</v>
      </c>
      <c r="K443" s="4">
        <v>152633</v>
      </c>
      <c r="L443" s="4">
        <f t="shared" si="12"/>
        <v>1831596</v>
      </c>
      <c r="M443" s="4" t="str" cm="1">
        <f t="array" ref="M44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43" s="2">
        <v>8.1</v>
      </c>
      <c r="O443" s="2" t="str" cm="1">
        <f t="array" ref="O443">_xlfn.IFS(Table1[[#This Row],[Distance to School (km)]]&gt;=5,"Far",Table1[[#This Row],[Distance to School (km)]]&lt;5,"Near")</f>
        <v>Far</v>
      </c>
      <c r="P443" s="5">
        <f t="shared" si="13"/>
        <v>0.27349999999999997</v>
      </c>
    </row>
    <row r="444" spans="1:16" ht="15" hidden="1" x14ac:dyDescent="0.25">
      <c r="A444" s="2" t="s">
        <v>449</v>
      </c>
      <c r="B444" s="2" t="s">
        <v>669</v>
      </c>
      <c r="C444" s="2" t="s">
        <v>722</v>
      </c>
      <c r="D444" s="2" t="s">
        <v>754</v>
      </c>
      <c r="E444" s="2">
        <v>16</v>
      </c>
      <c r="F444" s="2" t="str" cm="1">
        <f t="array" ref="F444">_xlfn.IFS(Table1[[#This Row],[Age]]&lt;=16,"15-16",Table1[[#This Row],[Age]]&lt;19,"17-18")</f>
        <v>15-16</v>
      </c>
      <c r="G444" s="2" t="s">
        <v>758</v>
      </c>
      <c r="H444" s="3">
        <v>0.68900000000000006</v>
      </c>
      <c r="I444" s="3">
        <v>0.73499999999999999</v>
      </c>
      <c r="J444" s="3" t="str" cm="1">
        <f t="array" ref="J444">_xlfn.IFS(Table1[[#This Row],[Overall Attendance]]&gt;=0.6,"Good",Table1[[#This Row],[Overall Attendance]]&lt;0.6,"Bad")</f>
        <v>Good</v>
      </c>
      <c r="K444" s="4">
        <v>78220</v>
      </c>
      <c r="L444" s="4">
        <f t="shared" si="12"/>
        <v>938640</v>
      </c>
      <c r="M444" s="4" t="str" cm="1">
        <f t="array" ref="M44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44" s="2">
        <v>7</v>
      </c>
      <c r="O444" s="2" t="str" cm="1">
        <f t="array" ref="O444">_xlfn.IFS(Table1[[#This Row],[Distance to School (km)]]&gt;=5,"Far",Table1[[#This Row],[Distance to School (km)]]&lt;5,"Near")</f>
        <v>Far</v>
      </c>
      <c r="P444" s="5">
        <f t="shared" si="13"/>
        <v>0.28800000000000003</v>
      </c>
    </row>
    <row r="445" spans="1:16" ht="15" hidden="1" x14ac:dyDescent="0.25">
      <c r="A445" s="2" t="s">
        <v>450</v>
      </c>
      <c r="B445" s="2" t="s">
        <v>669</v>
      </c>
      <c r="C445" s="2" t="s">
        <v>714</v>
      </c>
      <c r="D445" s="2" t="s">
        <v>738</v>
      </c>
      <c r="E445" s="2">
        <v>15</v>
      </c>
      <c r="F445" s="2" t="str" cm="1">
        <f t="array" ref="F445">_xlfn.IFS(Table1[[#This Row],[Age]]&lt;=16,"15-16",Table1[[#This Row],[Age]]&lt;19,"17-18")</f>
        <v>15-16</v>
      </c>
      <c r="G445" s="2" t="s">
        <v>758</v>
      </c>
      <c r="H445" s="3">
        <v>0.61199999999999999</v>
      </c>
      <c r="I445" s="3">
        <v>0.98</v>
      </c>
      <c r="J445" s="3" t="str" cm="1">
        <f t="array" ref="J445">_xlfn.IFS(Table1[[#This Row],[Overall Attendance]]&gt;=0.6,"Good",Table1[[#This Row],[Overall Attendance]]&lt;0.6,"Bad")</f>
        <v>Good</v>
      </c>
      <c r="K445" s="4">
        <v>34663</v>
      </c>
      <c r="L445" s="4">
        <f t="shared" si="12"/>
        <v>415956</v>
      </c>
      <c r="M445" s="4" t="str" cm="1">
        <f t="array" ref="M44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45" s="2">
        <v>11.8</v>
      </c>
      <c r="O445" s="2" t="str" cm="1">
        <f t="array" ref="O445">_xlfn.IFS(Table1[[#This Row],[Distance to School (km)]]&gt;=5,"Far",Table1[[#This Row],[Distance to School (km)]]&lt;5,"Near")</f>
        <v>Far</v>
      </c>
      <c r="P445" s="5">
        <f t="shared" si="13"/>
        <v>0.20399999999999996</v>
      </c>
    </row>
    <row r="446" spans="1:16" ht="15" hidden="1" x14ac:dyDescent="0.25">
      <c r="A446" s="2" t="s">
        <v>451</v>
      </c>
      <c r="B446" s="2" t="s">
        <v>676</v>
      </c>
      <c r="C446" s="2" t="s">
        <v>727</v>
      </c>
      <c r="D446" s="2" t="s">
        <v>746</v>
      </c>
      <c r="E446" s="2">
        <v>16</v>
      </c>
      <c r="F446" s="2" t="str" cm="1">
        <f t="array" ref="F446">_xlfn.IFS(Table1[[#This Row],[Age]]&lt;=16,"15-16",Table1[[#This Row],[Age]]&lt;19,"17-18")</f>
        <v>15-16</v>
      </c>
      <c r="G446" s="2" t="s">
        <v>757</v>
      </c>
      <c r="H446" s="3">
        <v>0.59399999999999997</v>
      </c>
      <c r="I446" s="3">
        <v>0.88700000000000001</v>
      </c>
      <c r="J446" s="3" t="str" cm="1">
        <f t="array" ref="J446">_xlfn.IFS(Table1[[#This Row],[Overall Attendance]]&gt;=0.6,"Good",Table1[[#This Row],[Overall Attendance]]&lt;0.6,"Bad")</f>
        <v>Good</v>
      </c>
      <c r="K446" s="4">
        <v>102845</v>
      </c>
      <c r="L446" s="4">
        <f t="shared" si="12"/>
        <v>1234140</v>
      </c>
      <c r="M446" s="4" t="str" cm="1">
        <f t="array" ref="M44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46" s="2">
        <v>11.1</v>
      </c>
      <c r="O446" s="2" t="str" cm="1">
        <f t="array" ref="O446">_xlfn.IFS(Table1[[#This Row],[Distance to School (km)]]&gt;=5,"Far",Table1[[#This Row],[Distance to School (km)]]&lt;5,"Near")</f>
        <v>Far</v>
      </c>
      <c r="P446" s="5">
        <f t="shared" si="13"/>
        <v>0.25950000000000006</v>
      </c>
    </row>
    <row r="447" spans="1:16" ht="15" hidden="1" x14ac:dyDescent="0.25">
      <c r="A447" s="2" t="s">
        <v>452</v>
      </c>
      <c r="B447" s="2" t="s">
        <v>664</v>
      </c>
      <c r="C447" s="2" t="s">
        <v>702</v>
      </c>
      <c r="D447" s="2" t="s">
        <v>749</v>
      </c>
      <c r="E447" s="2">
        <v>15</v>
      </c>
      <c r="F447" s="2" t="str" cm="1">
        <f t="array" ref="F447">_xlfn.IFS(Table1[[#This Row],[Age]]&lt;=16,"15-16",Table1[[#This Row],[Age]]&lt;19,"17-18")</f>
        <v>15-16</v>
      </c>
      <c r="G447" s="2" t="s">
        <v>757</v>
      </c>
      <c r="H447" s="3">
        <v>0.67200000000000004</v>
      </c>
      <c r="I447" s="3">
        <v>0.88500000000000001</v>
      </c>
      <c r="J447" s="3" t="str" cm="1">
        <f t="array" ref="J447">_xlfn.IFS(Table1[[#This Row],[Overall Attendance]]&gt;=0.6,"Good",Table1[[#This Row],[Overall Attendance]]&lt;0.6,"Bad")</f>
        <v>Good</v>
      </c>
      <c r="K447" s="4">
        <v>132750</v>
      </c>
      <c r="L447" s="4">
        <f t="shared" si="12"/>
        <v>1593000</v>
      </c>
      <c r="M447" s="4" t="str" cm="1">
        <f t="array" ref="M44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47" s="2">
        <v>9.8000000000000007</v>
      </c>
      <c r="O447" s="2" t="str" cm="1">
        <f t="array" ref="O447">_xlfn.IFS(Table1[[#This Row],[Distance to School (km)]]&gt;=5,"Far",Table1[[#This Row],[Distance to School (km)]]&lt;5,"Near")</f>
        <v>Far</v>
      </c>
      <c r="P447" s="5">
        <f t="shared" si="13"/>
        <v>0.22150000000000003</v>
      </c>
    </row>
    <row r="448" spans="1:16" ht="15" x14ac:dyDescent="0.25">
      <c r="A448" s="2" t="s">
        <v>453</v>
      </c>
      <c r="B448" s="2" t="s">
        <v>659</v>
      </c>
      <c r="C448" s="2" t="s">
        <v>734</v>
      </c>
      <c r="D448" s="2" t="s">
        <v>738</v>
      </c>
      <c r="E448" s="2">
        <v>17</v>
      </c>
      <c r="F448" s="2" t="str" cm="1">
        <f t="array" ref="F448">_xlfn.IFS(Table1[[#This Row],[Age]]&lt;=16,"15-16",Table1[[#This Row],[Age]]&lt;19,"17-18")</f>
        <v>17-18</v>
      </c>
      <c r="G448" s="2" t="s">
        <v>758</v>
      </c>
      <c r="H448" s="3">
        <v>0.27</v>
      </c>
      <c r="I448" s="3">
        <v>0.34</v>
      </c>
      <c r="J448" s="3" t="str" cm="1">
        <f t="array" ref="J448">_xlfn.IFS(Table1[[#This Row],[Overall Attendance]]&gt;=0.6,"Good",Table1[[#This Row],[Overall Attendance]]&lt;0.6,"Bad")</f>
        <v>Bad</v>
      </c>
      <c r="K448" s="4">
        <v>35811</v>
      </c>
      <c r="L448" s="4">
        <f t="shared" si="12"/>
        <v>429732</v>
      </c>
      <c r="M448" s="4" t="str" cm="1">
        <f t="array" ref="M44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48" s="2">
        <v>7.3</v>
      </c>
      <c r="O448" s="2" t="str" cm="1">
        <f t="array" ref="O448">_xlfn.IFS(Table1[[#This Row],[Distance to School (km)]]&gt;=5,"Far",Table1[[#This Row],[Distance to School (km)]]&lt;5,"Near")</f>
        <v>Far</v>
      </c>
      <c r="P448" s="5">
        <f t="shared" si="13"/>
        <v>0.69499999999999995</v>
      </c>
    </row>
    <row r="449" spans="1:16" ht="15" hidden="1" x14ac:dyDescent="0.25">
      <c r="A449" s="2" t="s">
        <v>454</v>
      </c>
      <c r="B449" s="2" t="s">
        <v>675</v>
      </c>
      <c r="C449" s="2" t="s">
        <v>652</v>
      </c>
      <c r="D449" s="2" t="s">
        <v>755</v>
      </c>
      <c r="E449" s="2">
        <v>15</v>
      </c>
      <c r="F449" s="2" t="str" cm="1">
        <f t="array" ref="F449">_xlfn.IFS(Table1[[#This Row],[Age]]&lt;=16,"15-16",Table1[[#This Row],[Age]]&lt;19,"17-18")</f>
        <v>15-16</v>
      </c>
      <c r="G449" s="2" t="s">
        <v>757</v>
      </c>
      <c r="H449" s="3">
        <v>0.65599999999999992</v>
      </c>
      <c r="I449" s="3">
        <v>0.83599999999999997</v>
      </c>
      <c r="J449" s="3" t="str" cm="1">
        <f t="array" ref="J449">_xlfn.IFS(Table1[[#This Row],[Overall Attendance]]&gt;=0.6,"Good",Table1[[#This Row],[Overall Attendance]]&lt;0.6,"Bad")</f>
        <v>Good</v>
      </c>
      <c r="K449" s="4">
        <v>313851</v>
      </c>
      <c r="L449" s="4">
        <f t="shared" si="12"/>
        <v>3766212</v>
      </c>
      <c r="M449" s="4" t="str" cm="1">
        <f t="array" ref="M44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49" s="2">
        <v>11.2</v>
      </c>
      <c r="O449" s="2" t="str" cm="1">
        <f t="array" ref="O449">_xlfn.IFS(Table1[[#This Row],[Distance to School (km)]]&gt;=5,"Far",Table1[[#This Row],[Distance to School (km)]]&lt;5,"Near")</f>
        <v>Far</v>
      </c>
      <c r="P449" s="5">
        <f t="shared" si="13"/>
        <v>0.254</v>
      </c>
    </row>
    <row r="450" spans="1:16" ht="15" hidden="1" x14ac:dyDescent="0.25">
      <c r="A450" s="2" t="s">
        <v>455</v>
      </c>
      <c r="B450" s="2" t="s">
        <v>677</v>
      </c>
      <c r="C450" s="2" t="s">
        <v>652</v>
      </c>
      <c r="D450" s="2" t="s">
        <v>737</v>
      </c>
      <c r="E450" s="2">
        <v>16</v>
      </c>
      <c r="F450" s="2" t="str" cm="1">
        <f t="array" ref="F450">_xlfn.IFS(Table1[[#This Row],[Age]]&lt;=16,"15-16",Table1[[#This Row],[Age]]&lt;19,"17-18")</f>
        <v>15-16</v>
      </c>
      <c r="G450" s="2" t="s">
        <v>757</v>
      </c>
      <c r="H450" s="3">
        <v>0.77300000000000002</v>
      </c>
      <c r="I450" s="3">
        <v>0.75900000000000001</v>
      </c>
      <c r="J450" s="3" t="str" cm="1">
        <f t="array" ref="J450">_xlfn.IFS(Table1[[#This Row],[Overall Attendance]]&gt;=0.6,"Good",Table1[[#This Row],[Overall Attendance]]&lt;0.6,"Bad")</f>
        <v>Good</v>
      </c>
      <c r="K450" s="4">
        <v>40715</v>
      </c>
      <c r="L450" s="4">
        <f t="shared" si="12"/>
        <v>488580</v>
      </c>
      <c r="M450" s="4" t="str" cm="1">
        <f t="array" ref="M45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50" s="2">
        <v>4.2</v>
      </c>
      <c r="O450" s="2" t="str" cm="1">
        <f t="array" ref="O450">_xlfn.IFS(Table1[[#This Row],[Distance to School (km)]]&gt;=5,"Far",Table1[[#This Row],[Distance to School (km)]]&lt;5,"Near")</f>
        <v>Near</v>
      </c>
      <c r="P450" s="5">
        <f t="shared" si="13"/>
        <v>0.23399999999999999</v>
      </c>
    </row>
    <row r="451" spans="1:16" ht="15" x14ac:dyDescent="0.25">
      <c r="A451" s="2" t="s">
        <v>456</v>
      </c>
      <c r="B451" s="2" t="s">
        <v>645</v>
      </c>
      <c r="C451" s="2" t="s">
        <v>721</v>
      </c>
      <c r="D451" s="2" t="s">
        <v>751</v>
      </c>
      <c r="E451" s="2">
        <v>17</v>
      </c>
      <c r="F451" s="2" t="str" cm="1">
        <f t="array" ref="F451">_xlfn.IFS(Table1[[#This Row],[Age]]&lt;=16,"15-16",Table1[[#This Row],[Age]]&lt;19,"17-18")</f>
        <v>17-18</v>
      </c>
      <c r="G451" s="2" t="s">
        <v>758</v>
      </c>
      <c r="H451" s="3">
        <v>0.80500000000000005</v>
      </c>
      <c r="I451" s="3">
        <v>0.871</v>
      </c>
      <c r="J451" s="3" t="str" cm="1">
        <f t="array" ref="J451">_xlfn.IFS(Table1[[#This Row],[Overall Attendance]]&gt;=0.6,"Good",Table1[[#This Row],[Overall Attendance]]&lt;0.6,"Bad")</f>
        <v>Good</v>
      </c>
      <c r="K451" s="4">
        <v>32873</v>
      </c>
      <c r="L451" s="4">
        <f t="shared" ref="L451:L514" si="14">K451*12</f>
        <v>394476</v>
      </c>
      <c r="M451" s="4" t="str" cm="1">
        <f t="array" ref="M45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51" s="2">
        <v>3.1</v>
      </c>
      <c r="O451" s="2" t="str" cm="1">
        <f t="array" ref="O451">_xlfn.IFS(Table1[[#This Row],[Distance to School (km)]]&gt;=5,"Far",Table1[[#This Row],[Distance to School (km)]]&lt;5,"Near")</f>
        <v>Near</v>
      </c>
      <c r="P451" s="5">
        <f t="shared" ref="P451:P514" si="15">100%-AVERAGE(H451:I451)</f>
        <v>0.16199999999999992</v>
      </c>
    </row>
    <row r="452" spans="1:16" ht="15" x14ac:dyDescent="0.25">
      <c r="A452" s="2" t="s">
        <v>457</v>
      </c>
      <c r="B452" s="2" t="s">
        <v>648</v>
      </c>
      <c r="C452" s="2" t="s">
        <v>706</v>
      </c>
      <c r="D452" s="2" t="s">
        <v>754</v>
      </c>
      <c r="E452" s="2">
        <v>18</v>
      </c>
      <c r="F452" s="2" t="str" cm="1">
        <f t="array" ref="F452">_xlfn.IFS(Table1[[#This Row],[Age]]&lt;=16,"15-16",Table1[[#This Row],[Age]]&lt;19,"17-18")</f>
        <v>17-18</v>
      </c>
      <c r="G452" s="2" t="s">
        <v>758</v>
      </c>
      <c r="H452" s="3">
        <v>0.75599999999999989</v>
      </c>
      <c r="I452" s="3">
        <v>0.88500000000000001</v>
      </c>
      <c r="J452" s="3" t="str" cm="1">
        <f t="array" ref="J452">_xlfn.IFS(Table1[[#This Row],[Overall Attendance]]&gt;=0.6,"Good",Table1[[#This Row],[Overall Attendance]]&lt;0.6,"Bad")</f>
        <v>Good</v>
      </c>
      <c r="K452" s="4">
        <v>21615</v>
      </c>
      <c r="L452" s="4">
        <f t="shared" si="14"/>
        <v>259380</v>
      </c>
      <c r="M452" s="4" t="str" cm="1">
        <f t="array" ref="M45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52" s="2">
        <v>5.0999999999999996</v>
      </c>
      <c r="O452" s="2" t="str" cm="1">
        <f t="array" ref="O452">_xlfn.IFS(Table1[[#This Row],[Distance to School (km)]]&gt;=5,"Far",Table1[[#This Row],[Distance to School (km)]]&lt;5,"Near")</f>
        <v>Far</v>
      </c>
      <c r="P452" s="5">
        <f t="shared" si="15"/>
        <v>0.17949999999999999</v>
      </c>
    </row>
    <row r="453" spans="1:16" ht="15" x14ac:dyDescent="0.25">
      <c r="A453" s="2" t="s">
        <v>458</v>
      </c>
      <c r="B453" s="2" t="s">
        <v>648</v>
      </c>
      <c r="C453" s="2" t="s">
        <v>687</v>
      </c>
      <c r="D453" s="2" t="s">
        <v>753</v>
      </c>
      <c r="E453" s="2">
        <v>17</v>
      </c>
      <c r="F453" s="2" t="str" cm="1">
        <f t="array" ref="F453">_xlfn.IFS(Table1[[#This Row],[Age]]&lt;=16,"15-16",Table1[[#This Row],[Age]]&lt;19,"17-18")</f>
        <v>17-18</v>
      </c>
      <c r="G453" s="2" t="s">
        <v>757</v>
      </c>
      <c r="H453" s="3">
        <v>0.49099999999999999</v>
      </c>
      <c r="I453" s="3">
        <v>0.77800000000000002</v>
      </c>
      <c r="J453" s="3" t="str" cm="1">
        <f t="array" ref="J453">_xlfn.IFS(Table1[[#This Row],[Overall Attendance]]&gt;=0.6,"Good",Table1[[#This Row],[Overall Attendance]]&lt;0.6,"Bad")</f>
        <v>Good</v>
      </c>
      <c r="K453" s="4">
        <v>87443</v>
      </c>
      <c r="L453" s="4">
        <f t="shared" si="14"/>
        <v>1049316</v>
      </c>
      <c r="M453" s="4" t="str" cm="1">
        <f t="array" ref="M45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53" s="2">
        <v>3.3</v>
      </c>
      <c r="O453" s="2" t="str" cm="1">
        <f t="array" ref="O453">_xlfn.IFS(Table1[[#This Row],[Distance to School (km)]]&gt;=5,"Far",Table1[[#This Row],[Distance to School (km)]]&lt;5,"Near")</f>
        <v>Near</v>
      </c>
      <c r="P453" s="5">
        <f t="shared" si="15"/>
        <v>0.36549999999999994</v>
      </c>
    </row>
    <row r="454" spans="1:16" ht="15" hidden="1" x14ac:dyDescent="0.25">
      <c r="A454" s="2" t="s">
        <v>459</v>
      </c>
      <c r="B454" s="2" t="s">
        <v>678</v>
      </c>
      <c r="C454" s="2" t="s">
        <v>722</v>
      </c>
      <c r="D454" s="2" t="s">
        <v>747</v>
      </c>
      <c r="E454" s="2">
        <v>15</v>
      </c>
      <c r="F454" s="2" t="str" cm="1">
        <f t="array" ref="F454">_xlfn.IFS(Table1[[#This Row],[Age]]&lt;=16,"15-16",Table1[[#This Row],[Age]]&lt;19,"17-18")</f>
        <v>15-16</v>
      </c>
      <c r="G454" s="2" t="s">
        <v>758</v>
      </c>
      <c r="H454" s="3">
        <v>0.77099999999999991</v>
      </c>
      <c r="I454" s="3">
        <v>0.9</v>
      </c>
      <c r="J454" s="3" t="str" cm="1">
        <f t="array" ref="J454">_xlfn.IFS(Table1[[#This Row],[Overall Attendance]]&gt;=0.6,"Good",Table1[[#This Row],[Overall Attendance]]&lt;0.6,"Bad")</f>
        <v>Good</v>
      </c>
      <c r="K454" s="4">
        <v>145654</v>
      </c>
      <c r="L454" s="4">
        <f t="shared" si="14"/>
        <v>1747848</v>
      </c>
      <c r="M454" s="4" t="str" cm="1">
        <f t="array" ref="M45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54" s="2">
        <v>4.5</v>
      </c>
      <c r="O454" s="2" t="str" cm="1">
        <f t="array" ref="O454">_xlfn.IFS(Table1[[#This Row],[Distance to School (km)]]&gt;=5,"Far",Table1[[#This Row],[Distance to School (km)]]&lt;5,"Near")</f>
        <v>Near</v>
      </c>
      <c r="P454" s="5">
        <f t="shared" si="15"/>
        <v>0.16450000000000009</v>
      </c>
    </row>
    <row r="455" spans="1:16" ht="15" x14ac:dyDescent="0.25">
      <c r="A455" s="2" t="s">
        <v>460</v>
      </c>
      <c r="B455" s="2" t="s">
        <v>646</v>
      </c>
      <c r="C455" s="2" t="s">
        <v>717</v>
      </c>
      <c r="D455" s="2" t="s">
        <v>737</v>
      </c>
      <c r="E455" s="2">
        <v>17</v>
      </c>
      <c r="F455" s="2" t="str" cm="1">
        <f t="array" ref="F455">_xlfn.IFS(Table1[[#This Row],[Age]]&lt;=16,"15-16",Table1[[#This Row],[Age]]&lt;19,"17-18")</f>
        <v>17-18</v>
      </c>
      <c r="G455" s="2" t="s">
        <v>758</v>
      </c>
      <c r="H455" s="3">
        <v>0.4</v>
      </c>
      <c r="I455" s="3">
        <v>0.45</v>
      </c>
      <c r="J455" s="3" t="str" cm="1">
        <f t="array" ref="J455">_xlfn.IFS(Table1[[#This Row],[Overall Attendance]]&gt;=0.6,"Good",Table1[[#This Row],[Overall Attendance]]&lt;0.6,"Bad")</f>
        <v>Bad</v>
      </c>
      <c r="K455" s="4">
        <v>59557</v>
      </c>
      <c r="L455" s="4">
        <f t="shared" si="14"/>
        <v>714684</v>
      </c>
      <c r="M455" s="4" t="str" cm="1">
        <f t="array" ref="M45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55" s="2">
        <v>2.8</v>
      </c>
      <c r="O455" s="2" t="str" cm="1">
        <f t="array" ref="O455">_xlfn.IFS(Table1[[#This Row],[Distance to School (km)]]&gt;=5,"Far",Table1[[#This Row],[Distance to School (km)]]&lt;5,"Near")</f>
        <v>Near</v>
      </c>
      <c r="P455" s="5">
        <f t="shared" si="15"/>
        <v>0.57499999999999996</v>
      </c>
    </row>
    <row r="456" spans="1:16" ht="15" hidden="1" x14ac:dyDescent="0.25">
      <c r="A456" s="2" t="s">
        <v>461</v>
      </c>
      <c r="B456" s="2" t="s">
        <v>670</v>
      </c>
      <c r="C456" s="2" t="s">
        <v>687</v>
      </c>
      <c r="D456" s="2" t="s">
        <v>743</v>
      </c>
      <c r="E456" s="2">
        <v>15</v>
      </c>
      <c r="F456" s="2" t="str" cm="1">
        <f t="array" ref="F456">_xlfn.IFS(Table1[[#This Row],[Age]]&lt;=16,"15-16",Table1[[#This Row],[Age]]&lt;19,"17-18")</f>
        <v>15-16</v>
      </c>
      <c r="G456" s="2" t="s">
        <v>757</v>
      </c>
      <c r="H456" s="3">
        <v>0.61399999999999999</v>
      </c>
      <c r="I456" s="3">
        <v>0.746</v>
      </c>
      <c r="J456" s="3" t="str" cm="1">
        <f t="array" ref="J456">_xlfn.IFS(Table1[[#This Row],[Overall Attendance]]&gt;=0.6,"Good",Table1[[#This Row],[Overall Attendance]]&lt;0.6,"Bad")</f>
        <v>Good</v>
      </c>
      <c r="K456" s="4">
        <v>137708</v>
      </c>
      <c r="L456" s="4">
        <f t="shared" si="14"/>
        <v>1652496</v>
      </c>
      <c r="M456" s="4" t="str" cm="1">
        <f t="array" ref="M45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56" s="2">
        <v>8.5</v>
      </c>
      <c r="O456" s="2" t="str" cm="1">
        <f t="array" ref="O456">_xlfn.IFS(Table1[[#This Row],[Distance to School (km)]]&gt;=5,"Far",Table1[[#This Row],[Distance to School (km)]]&lt;5,"Near")</f>
        <v>Far</v>
      </c>
      <c r="P456" s="5">
        <f t="shared" si="15"/>
        <v>0.32000000000000006</v>
      </c>
    </row>
    <row r="457" spans="1:16" ht="15" hidden="1" x14ac:dyDescent="0.25">
      <c r="A457" s="2" t="s">
        <v>462</v>
      </c>
      <c r="B457" s="2" t="s">
        <v>681</v>
      </c>
      <c r="C457" s="2" t="s">
        <v>697</v>
      </c>
      <c r="D457" s="2" t="s">
        <v>746</v>
      </c>
      <c r="E457" s="2">
        <v>16</v>
      </c>
      <c r="F457" s="2" t="str" cm="1">
        <f t="array" ref="F457">_xlfn.IFS(Table1[[#This Row],[Age]]&lt;=16,"15-16",Table1[[#This Row],[Age]]&lt;19,"17-18")</f>
        <v>15-16</v>
      </c>
      <c r="G457" s="2" t="s">
        <v>758</v>
      </c>
      <c r="H457" s="3">
        <v>0.52300000000000002</v>
      </c>
      <c r="I457" s="3">
        <v>0.96299999999999997</v>
      </c>
      <c r="J457" s="3" t="str" cm="1">
        <f t="array" ref="J457">_xlfn.IFS(Table1[[#This Row],[Overall Attendance]]&gt;=0.6,"Good",Table1[[#This Row],[Overall Attendance]]&lt;0.6,"Bad")</f>
        <v>Good</v>
      </c>
      <c r="K457" s="4">
        <v>171621</v>
      </c>
      <c r="L457" s="4">
        <f t="shared" si="14"/>
        <v>2059452</v>
      </c>
      <c r="M457" s="4" t="str" cm="1">
        <f t="array" ref="M45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57" s="2">
        <v>6.8</v>
      </c>
      <c r="O457" s="2" t="str" cm="1">
        <f t="array" ref="O457">_xlfn.IFS(Table1[[#This Row],[Distance to School (km)]]&gt;=5,"Far",Table1[[#This Row],[Distance to School (km)]]&lt;5,"Near")</f>
        <v>Far</v>
      </c>
      <c r="P457" s="5">
        <f t="shared" si="15"/>
        <v>0.25700000000000001</v>
      </c>
    </row>
    <row r="458" spans="1:16" ht="15" hidden="1" x14ac:dyDescent="0.25">
      <c r="A458" s="2" t="s">
        <v>463</v>
      </c>
      <c r="B458" s="2" t="s">
        <v>657</v>
      </c>
      <c r="C458" s="2" t="s">
        <v>728</v>
      </c>
      <c r="D458" s="2" t="s">
        <v>668</v>
      </c>
      <c r="E458" s="2">
        <v>15</v>
      </c>
      <c r="F458" s="2" t="str" cm="1">
        <f t="array" ref="F458">_xlfn.IFS(Table1[[#This Row],[Age]]&lt;=16,"15-16",Table1[[#This Row],[Age]]&lt;19,"17-18")</f>
        <v>15-16</v>
      </c>
      <c r="G458" s="2" t="s">
        <v>757</v>
      </c>
      <c r="H458" s="3">
        <v>0.52900000000000003</v>
      </c>
      <c r="I458" s="3">
        <v>0.80700000000000005</v>
      </c>
      <c r="J458" s="3" t="str" cm="1">
        <f t="array" ref="J458">_xlfn.IFS(Table1[[#This Row],[Overall Attendance]]&gt;=0.6,"Good",Table1[[#This Row],[Overall Attendance]]&lt;0.6,"Bad")</f>
        <v>Good</v>
      </c>
      <c r="K458" s="4">
        <v>126306</v>
      </c>
      <c r="L458" s="4">
        <f t="shared" si="14"/>
        <v>1515672</v>
      </c>
      <c r="M458" s="4" t="str" cm="1">
        <f t="array" ref="M45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58" s="2">
        <v>1.1000000000000001</v>
      </c>
      <c r="O458" s="2" t="str" cm="1">
        <f t="array" ref="O458">_xlfn.IFS(Table1[[#This Row],[Distance to School (km)]]&gt;=5,"Far",Table1[[#This Row],[Distance to School (km)]]&lt;5,"Near")</f>
        <v>Near</v>
      </c>
      <c r="P458" s="5">
        <f t="shared" si="15"/>
        <v>0.33199999999999996</v>
      </c>
    </row>
    <row r="459" spans="1:16" ht="15" x14ac:dyDescent="0.25">
      <c r="A459" s="2" t="s">
        <v>464</v>
      </c>
      <c r="B459" s="2" t="s">
        <v>663</v>
      </c>
      <c r="C459" s="2" t="s">
        <v>728</v>
      </c>
      <c r="D459" s="2" t="s">
        <v>741</v>
      </c>
      <c r="E459" s="2">
        <v>18</v>
      </c>
      <c r="F459" s="2" t="str" cm="1">
        <f t="array" ref="F459">_xlfn.IFS(Table1[[#This Row],[Age]]&lt;=16,"15-16",Table1[[#This Row],[Age]]&lt;19,"17-18")</f>
        <v>17-18</v>
      </c>
      <c r="G459" s="2" t="s">
        <v>757</v>
      </c>
      <c r="H459" s="3">
        <v>0.48200000000000004</v>
      </c>
      <c r="I459" s="3">
        <v>0.63100000000000001</v>
      </c>
      <c r="J459" s="3" t="str" cm="1">
        <f t="array" ref="J459">_xlfn.IFS(Table1[[#This Row],[Overall Attendance]]&gt;=0.6,"Good",Table1[[#This Row],[Overall Attendance]]&lt;0.6,"Bad")</f>
        <v>Good</v>
      </c>
      <c r="K459" s="4">
        <v>276676</v>
      </c>
      <c r="L459" s="4">
        <f t="shared" si="14"/>
        <v>3320112</v>
      </c>
      <c r="M459" s="4" t="str" cm="1">
        <f t="array" ref="M45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59" s="2">
        <v>3.2</v>
      </c>
      <c r="O459" s="2" t="str" cm="1">
        <f t="array" ref="O459">_xlfn.IFS(Table1[[#This Row],[Distance to School (km)]]&gt;=5,"Far",Table1[[#This Row],[Distance to School (km)]]&lt;5,"Near")</f>
        <v>Near</v>
      </c>
      <c r="P459" s="5">
        <f t="shared" si="15"/>
        <v>0.44350000000000001</v>
      </c>
    </row>
    <row r="460" spans="1:16" ht="15" x14ac:dyDescent="0.25">
      <c r="A460" s="2" t="s">
        <v>465</v>
      </c>
      <c r="B460" s="2" t="s">
        <v>667</v>
      </c>
      <c r="C460" s="2" t="s">
        <v>727</v>
      </c>
      <c r="D460" s="2" t="s">
        <v>753</v>
      </c>
      <c r="E460" s="2">
        <v>17</v>
      </c>
      <c r="F460" s="2" t="str" cm="1">
        <f t="array" ref="F460">_xlfn.IFS(Table1[[#This Row],[Age]]&lt;=16,"15-16",Table1[[#This Row],[Age]]&lt;19,"17-18")</f>
        <v>17-18</v>
      </c>
      <c r="G460" s="2" t="s">
        <v>757</v>
      </c>
      <c r="H460" s="3">
        <v>0.71900000000000008</v>
      </c>
      <c r="I460" s="3">
        <v>0.72900000000000009</v>
      </c>
      <c r="J460" s="3" t="str" cm="1">
        <f t="array" ref="J460">_xlfn.IFS(Table1[[#This Row],[Overall Attendance]]&gt;=0.6,"Good",Table1[[#This Row],[Overall Attendance]]&lt;0.6,"Bad")</f>
        <v>Good</v>
      </c>
      <c r="K460" s="4">
        <v>26108</v>
      </c>
      <c r="L460" s="4">
        <f t="shared" si="14"/>
        <v>313296</v>
      </c>
      <c r="M460" s="4" t="str" cm="1">
        <f t="array" ref="M46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60" s="2">
        <v>1</v>
      </c>
      <c r="O460" s="2" t="str" cm="1">
        <f t="array" ref="O460">_xlfn.IFS(Table1[[#This Row],[Distance to School (km)]]&gt;=5,"Far",Table1[[#This Row],[Distance to School (km)]]&lt;5,"Near")</f>
        <v>Near</v>
      </c>
      <c r="P460" s="5">
        <f t="shared" si="15"/>
        <v>0.27599999999999991</v>
      </c>
    </row>
    <row r="461" spans="1:16" ht="15" x14ac:dyDescent="0.25">
      <c r="A461" s="2" t="s">
        <v>466</v>
      </c>
      <c r="B461" s="2" t="s">
        <v>673</v>
      </c>
      <c r="C461" s="2" t="s">
        <v>719</v>
      </c>
      <c r="D461" s="2" t="s">
        <v>738</v>
      </c>
      <c r="E461" s="2">
        <v>17</v>
      </c>
      <c r="F461" s="2" t="str" cm="1">
        <f t="array" ref="F461">_xlfn.IFS(Table1[[#This Row],[Age]]&lt;=16,"15-16",Table1[[#This Row],[Age]]&lt;19,"17-18")</f>
        <v>17-18</v>
      </c>
      <c r="G461" s="2" t="s">
        <v>758</v>
      </c>
      <c r="H461" s="3">
        <v>0.68099999999999994</v>
      </c>
      <c r="I461" s="3">
        <v>0.89700000000000002</v>
      </c>
      <c r="J461" s="3" t="str" cm="1">
        <f t="array" ref="J461">_xlfn.IFS(Table1[[#This Row],[Overall Attendance]]&gt;=0.6,"Good",Table1[[#This Row],[Overall Attendance]]&lt;0.6,"Bad")</f>
        <v>Good</v>
      </c>
      <c r="K461" s="4">
        <v>73291</v>
      </c>
      <c r="L461" s="4">
        <f t="shared" si="14"/>
        <v>879492</v>
      </c>
      <c r="M461" s="4" t="str" cm="1">
        <f t="array" ref="M46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61" s="2">
        <v>12</v>
      </c>
      <c r="O461" s="2" t="str" cm="1">
        <f t="array" ref="O461">_xlfn.IFS(Table1[[#This Row],[Distance to School (km)]]&gt;=5,"Far",Table1[[#This Row],[Distance to School (km)]]&lt;5,"Near")</f>
        <v>Far</v>
      </c>
      <c r="P461" s="5">
        <f t="shared" si="15"/>
        <v>0.21100000000000008</v>
      </c>
    </row>
    <row r="462" spans="1:16" ht="15" x14ac:dyDescent="0.25">
      <c r="A462" s="2" t="s">
        <v>467</v>
      </c>
      <c r="B462" s="2" t="s">
        <v>665</v>
      </c>
      <c r="C462" s="2" t="s">
        <v>700</v>
      </c>
      <c r="D462" s="2" t="s">
        <v>755</v>
      </c>
      <c r="E462" s="2">
        <v>18</v>
      </c>
      <c r="F462" s="2" t="str" cm="1">
        <f t="array" ref="F462">_xlfn.IFS(Table1[[#This Row],[Age]]&lt;=16,"15-16",Table1[[#This Row],[Age]]&lt;19,"17-18")</f>
        <v>17-18</v>
      </c>
      <c r="G462" s="2" t="s">
        <v>757</v>
      </c>
      <c r="H462" s="3">
        <v>0.79</v>
      </c>
      <c r="I462" s="3">
        <v>0.70299999999999996</v>
      </c>
      <c r="J462" s="3" t="str" cm="1">
        <f t="array" ref="J462">_xlfn.IFS(Table1[[#This Row],[Overall Attendance]]&gt;=0.6,"Good",Table1[[#This Row],[Overall Attendance]]&lt;0.6,"Bad")</f>
        <v>Good</v>
      </c>
      <c r="K462" s="4">
        <v>86369</v>
      </c>
      <c r="L462" s="4">
        <f t="shared" si="14"/>
        <v>1036428</v>
      </c>
      <c r="M462" s="4" t="str" cm="1">
        <f t="array" ref="M46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62" s="2">
        <v>4.4000000000000004</v>
      </c>
      <c r="O462" s="2" t="str" cm="1">
        <f t="array" ref="O462">_xlfn.IFS(Table1[[#This Row],[Distance to School (km)]]&gt;=5,"Far",Table1[[#This Row],[Distance to School (km)]]&lt;5,"Near")</f>
        <v>Near</v>
      </c>
      <c r="P462" s="5">
        <f t="shared" si="15"/>
        <v>0.25350000000000006</v>
      </c>
    </row>
    <row r="463" spans="1:16" ht="15" x14ac:dyDescent="0.25">
      <c r="A463" s="2" t="s">
        <v>468</v>
      </c>
      <c r="B463" s="2" t="s">
        <v>647</v>
      </c>
      <c r="C463" s="2" t="s">
        <v>703</v>
      </c>
      <c r="D463" s="2" t="s">
        <v>756</v>
      </c>
      <c r="E463" s="2">
        <v>18</v>
      </c>
      <c r="F463" s="2" t="str" cm="1">
        <f t="array" ref="F463">_xlfn.IFS(Table1[[#This Row],[Age]]&lt;=16,"15-16",Table1[[#This Row],[Age]]&lt;19,"17-18")</f>
        <v>17-18</v>
      </c>
      <c r="G463" s="2" t="s">
        <v>757</v>
      </c>
      <c r="H463" s="3">
        <v>0.78</v>
      </c>
      <c r="I463" s="3">
        <v>0.78599999999999992</v>
      </c>
      <c r="J463" s="3" t="str" cm="1">
        <f t="array" ref="J463">_xlfn.IFS(Table1[[#This Row],[Overall Attendance]]&gt;=0.6,"Good",Table1[[#This Row],[Overall Attendance]]&lt;0.6,"Bad")</f>
        <v>Good</v>
      </c>
      <c r="K463" s="4">
        <v>94992</v>
      </c>
      <c r="L463" s="4">
        <f t="shared" si="14"/>
        <v>1139904</v>
      </c>
      <c r="M463" s="4" t="str" cm="1">
        <f t="array" ref="M46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63" s="2">
        <v>7.1</v>
      </c>
      <c r="O463" s="2" t="str" cm="1">
        <f t="array" ref="O463">_xlfn.IFS(Table1[[#This Row],[Distance to School (km)]]&gt;=5,"Far",Table1[[#This Row],[Distance to School (km)]]&lt;5,"Near")</f>
        <v>Far</v>
      </c>
      <c r="P463" s="5">
        <f t="shared" si="15"/>
        <v>0.21700000000000008</v>
      </c>
    </row>
    <row r="464" spans="1:16" ht="15" x14ac:dyDescent="0.25">
      <c r="A464" s="2" t="s">
        <v>469</v>
      </c>
      <c r="B464" s="2" t="s">
        <v>682</v>
      </c>
      <c r="C464" s="2" t="s">
        <v>707</v>
      </c>
      <c r="D464" s="2" t="s">
        <v>744</v>
      </c>
      <c r="E464" s="2">
        <v>17</v>
      </c>
      <c r="F464" s="2" t="str" cm="1">
        <f t="array" ref="F464">_xlfn.IFS(Table1[[#This Row],[Age]]&lt;=16,"15-16",Table1[[#This Row],[Age]]&lt;19,"17-18")</f>
        <v>17-18</v>
      </c>
      <c r="G464" s="2" t="s">
        <v>758</v>
      </c>
      <c r="H464" s="3">
        <v>0.54100000000000004</v>
      </c>
      <c r="I464" s="3">
        <v>0.80200000000000005</v>
      </c>
      <c r="J464" s="3" t="str" cm="1">
        <f t="array" ref="J464">_xlfn.IFS(Table1[[#This Row],[Overall Attendance]]&gt;=0.6,"Good",Table1[[#This Row],[Overall Attendance]]&lt;0.6,"Bad")</f>
        <v>Good</v>
      </c>
      <c r="K464" s="4">
        <v>88079</v>
      </c>
      <c r="L464" s="4">
        <f t="shared" si="14"/>
        <v>1056948</v>
      </c>
      <c r="M464" s="4" t="str" cm="1">
        <f t="array" ref="M46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64" s="2">
        <v>10.4</v>
      </c>
      <c r="O464" s="2" t="str" cm="1">
        <f t="array" ref="O464">_xlfn.IFS(Table1[[#This Row],[Distance to School (km)]]&gt;=5,"Far",Table1[[#This Row],[Distance to School (km)]]&lt;5,"Near")</f>
        <v>Far</v>
      </c>
      <c r="P464" s="5">
        <f t="shared" si="15"/>
        <v>0.32850000000000001</v>
      </c>
    </row>
    <row r="465" spans="1:16" ht="15" hidden="1" x14ac:dyDescent="0.25">
      <c r="A465" s="2" t="s">
        <v>470</v>
      </c>
      <c r="B465" s="2" t="s">
        <v>662</v>
      </c>
      <c r="C465" s="2" t="s">
        <v>729</v>
      </c>
      <c r="D465" s="2" t="s">
        <v>641</v>
      </c>
      <c r="E465" s="2">
        <v>16</v>
      </c>
      <c r="F465" s="2" t="str" cm="1">
        <f t="array" ref="F465">_xlfn.IFS(Table1[[#This Row],[Age]]&lt;=16,"15-16",Table1[[#This Row],[Age]]&lt;19,"17-18")</f>
        <v>15-16</v>
      </c>
      <c r="G465" s="2" t="s">
        <v>757</v>
      </c>
      <c r="H465" s="3">
        <v>0.8640000000000001</v>
      </c>
      <c r="I465" s="3">
        <v>0.72900000000000009</v>
      </c>
      <c r="J465" s="3" t="str" cm="1">
        <f t="array" ref="J465">_xlfn.IFS(Table1[[#This Row],[Overall Attendance]]&gt;=0.6,"Good",Table1[[#This Row],[Overall Attendance]]&lt;0.6,"Bad")</f>
        <v>Good</v>
      </c>
      <c r="K465" s="4">
        <v>30403</v>
      </c>
      <c r="L465" s="4">
        <f t="shared" si="14"/>
        <v>364836</v>
      </c>
      <c r="M465" s="4" t="str" cm="1">
        <f t="array" ref="M46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65" s="2">
        <v>2.6</v>
      </c>
      <c r="O465" s="2" t="str" cm="1">
        <f t="array" ref="O465">_xlfn.IFS(Table1[[#This Row],[Distance to School (km)]]&gt;=5,"Far",Table1[[#This Row],[Distance to School (km)]]&lt;5,"Near")</f>
        <v>Near</v>
      </c>
      <c r="P465" s="5">
        <f t="shared" si="15"/>
        <v>0.2034999999999999</v>
      </c>
    </row>
    <row r="466" spans="1:16" ht="15" hidden="1" x14ac:dyDescent="0.25">
      <c r="A466" s="2" t="s">
        <v>471</v>
      </c>
      <c r="B466" s="2" t="s">
        <v>667</v>
      </c>
      <c r="C466" s="2" t="s">
        <v>687</v>
      </c>
      <c r="D466" s="2" t="s">
        <v>750</v>
      </c>
      <c r="E466" s="2">
        <v>15</v>
      </c>
      <c r="F466" s="2" t="str" cm="1">
        <f t="array" ref="F466">_xlfn.IFS(Table1[[#This Row],[Age]]&lt;=16,"15-16",Table1[[#This Row],[Age]]&lt;19,"17-18")</f>
        <v>15-16</v>
      </c>
      <c r="G466" s="2" t="s">
        <v>757</v>
      </c>
      <c r="H466" s="3">
        <v>0.71900000000000008</v>
      </c>
      <c r="I466" s="3">
        <v>0.79900000000000004</v>
      </c>
      <c r="J466" s="3" t="str" cm="1">
        <f t="array" ref="J466">_xlfn.IFS(Table1[[#This Row],[Overall Attendance]]&gt;=0.6,"Good",Table1[[#This Row],[Overall Attendance]]&lt;0.6,"Bad")</f>
        <v>Good</v>
      </c>
      <c r="K466" s="4">
        <v>91737</v>
      </c>
      <c r="L466" s="4">
        <f t="shared" si="14"/>
        <v>1100844</v>
      </c>
      <c r="M466" s="4" t="str" cm="1">
        <f t="array" ref="M46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66" s="2">
        <v>9.5</v>
      </c>
      <c r="O466" s="2" t="str" cm="1">
        <f t="array" ref="O466">_xlfn.IFS(Table1[[#This Row],[Distance to School (km)]]&gt;=5,"Far",Table1[[#This Row],[Distance to School (km)]]&lt;5,"Near")</f>
        <v>Far</v>
      </c>
      <c r="P466" s="5">
        <f t="shared" si="15"/>
        <v>0.24099999999999988</v>
      </c>
    </row>
    <row r="467" spans="1:16" ht="15" hidden="1" x14ac:dyDescent="0.25">
      <c r="A467" s="2" t="s">
        <v>472</v>
      </c>
      <c r="B467" s="2" t="s">
        <v>671</v>
      </c>
      <c r="C467" s="2" t="s">
        <v>701</v>
      </c>
      <c r="D467" s="2" t="s">
        <v>739</v>
      </c>
      <c r="E467" s="2">
        <v>15</v>
      </c>
      <c r="F467" s="2" t="str" cm="1">
        <f t="array" ref="F467">_xlfn.IFS(Table1[[#This Row],[Age]]&lt;=16,"15-16",Table1[[#This Row],[Age]]&lt;19,"17-18")</f>
        <v>15-16</v>
      </c>
      <c r="G467" s="2" t="s">
        <v>757</v>
      </c>
      <c r="H467" s="3">
        <v>0.78599999999999992</v>
      </c>
      <c r="I467" s="3">
        <v>0.80799999999999994</v>
      </c>
      <c r="J467" s="3" t="str" cm="1">
        <f t="array" ref="J467">_xlfn.IFS(Table1[[#This Row],[Overall Attendance]]&gt;=0.6,"Good",Table1[[#This Row],[Overall Attendance]]&lt;0.6,"Bad")</f>
        <v>Good</v>
      </c>
      <c r="K467" s="4">
        <v>87162</v>
      </c>
      <c r="L467" s="4">
        <f t="shared" si="14"/>
        <v>1045944</v>
      </c>
      <c r="M467" s="4" t="str" cm="1">
        <f t="array" ref="M46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67" s="2">
        <v>3.2</v>
      </c>
      <c r="O467" s="2" t="str" cm="1">
        <f t="array" ref="O467">_xlfn.IFS(Table1[[#This Row],[Distance to School (km)]]&gt;=5,"Far",Table1[[#This Row],[Distance to School (km)]]&lt;5,"Near")</f>
        <v>Near</v>
      </c>
      <c r="P467" s="5">
        <f t="shared" si="15"/>
        <v>0.20300000000000007</v>
      </c>
    </row>
    <row r="468" spans="1:16" ht="15" hidden="1" x14ac:dyDescent="0.25">
      <c r="A468" s="2" t="s">
        <v>473</v>
      </c>
      <c r="B468" s="2" t="s">
        <v>681</v>
      </c>
      <c r="C468" s="2" t="s">
        <v>693</v>
      </c>
      <c r="D468" s="2" t="s">
        <v>751</v>
      </c>
      <c r="E468" s="2">
        <v>16</v>
      </c>
      <c r="F468" s="2" t="str" cm="1">
        <f t="array" ref="F468">_xlfn.IFS(Table1[[#This Row],[Age]]&lt;=16,"15-16",Table1[[#This Row],[Age]]&lt;19,"17-18")</f>
        <v>15-16</v>
      </c>
      <c r="G468" s="2" t="s">
        <v>758</v>
      </c>
      <c r="H468" s="3">
        <v>0.45700000000000002</v>
      </c>
      <c r="I468" s="3">
        <v>0.81799999999999995</v>
      </c>
      <c r="J468" s="3" t="str" cm="1">
        <f t="array" ref="J468">_xlfn.IFS(Table1[[#This Row],[Overall Attendance]]&gt;=0.6,"Good",Table1[[#This Row],[Overall Attendance]]&lt;0.6,"Bad")</f>
        <v>Good</v>
      </c>
      <c r="K468" s="4">
        <v>248229</v>
      </c>
      <c r="L468" s="4">
        <f t="shared" si="14"/>
        <v>2978748</v>
      </c>
      <c r="M468" s="4" t="str" cm="1">
        <f t="array" ref="M46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68" s="2">
        <v>6.2</v>
      </c>
      <c r="O468" s="2" t="str" cm="1">
        <f t="array" ref="O468">_xlfn.IFS(Table1[[#This Row],[Distance to School (km)]]&gt;=5,"Far",Table1[[#This Row],[Distance to School (km)]]&lt;5,"Near")</f>
        <v>Far</v>
      </c>
      <c r="P468" s="5">
        <f t="shared" si="15"/>
        <v>0.36250000000000004</v>
      </c>
    </row>
    <row r="469" spans="1:16" ht="15" hidden="1" x14ac:dyDescent="0.25">
      <c r="A469" s="2" t="s">
        <v>474</v>
      </c>
      <c r="B469" s="2" t="s">
        <v>645</v>
      </c>
      <c r="C469" s="2" t="s">
        <v>699</v>
      </c>
      <c r="D469" s="2" t="s">
        <v>745</v>
      </c>
      <c r="E469" s="2">
        <v>15</v>
      </c>
      <c r="F469" s="2" t="str" cm="1">
        <f t="array" ref="F469">_xlfn.IFS(Table1[[#This Row],[Age]]&lt;=16,"15-16",Table1[[#This Row],[Age]]&lt;19,"17-18")</f>
        <v>15-16</v>
      </c>
      <c r="G469" s="2" t="s">
        <v>757</v>
      </c>
      <c r="H469" s="3">
        <v>0.35499999999999998</v>
      </c>
      <c r="I469" s="3">
        <v>0.96299999999999997</v>
      </c>
      <c r="J469" s="3" t="str" cm="1">
        <f t="array" ref="J469">_xlfn.IFS(Table1[[#This Row],[Overall Attendance]]&gt;=0.6,"Good",Table1[[#This Row],[Overall Attendance]]&lt;0.6,"Bad")</f>
        <v>Good</v>
      </c>
      <c r="K469" s="4">
        <v>77070</v>
      </c>
      <c r="L469" s="4">
        <f t="shared" si="14"/>
        <v>924840</v>
      </c>
      <c r="M469" s="4" t="str" cm="1">
        <f t="array" ref="M46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69" s="2">
        <v>9.1999999999999993</v>
      </c>
      <c r="O469" s="2" t="str" cm="1">
        <f t="array" ref="O469">_xlfn.IFS(Table1[[#This Row],[Distance to School (km)]]&gt;=5,"Far",Table1[[#This Row],[Distance to School (km)]]&lt;5,"Near")</f>
        <v>Far</v>
      </c>
      <c r="P469" s="5">
        <f t="shared" si="15"/>
        <v>0.34099999999999997</v>
      </c>
    </row>
    <row r="470" spans="1:16" ht="15" x14ac:dyDescent="0.25">
      <c r="A470" s="2" t="s">
        <v>475</v>
      </c>
      <c r="B470" s="2" t="s">
        <v>674</v>
      </c>
      <c r="C470" s="2" t="s">
        <v>733</v>
      </c>
      <c r="D470" s="2" t="s">
        <v>737</v>
      </c>
      <c r="E470" s="2">
        <v>18</v>
      </c>
      <c r="F470" s="2" t="str" cm="1">
        <f t="array" ref="F470">_xlfn.IFS(Table1[[#This Row],[Age]]&lt;=16,"15-16",Table1[[#This Row],[Age]]&lt;19,"17-18")</f>
        <v>17-18</v>
      </c>
      <c r="G470" s="2" t="s">
        <v>757</v>
      </c>
      <c r="H470" s="3">
        <v>0.51400000000000001</v>
      </c>
      <c r="I470" s="3">
        <v>0.82599999999999996</v>
      </c>
      <c r="J470" s="3" t="str" cm="1">
        <f t="array" ref="J470">_xlfn.IFS(Table1[[#This Row],[Overall Attendance]]&gt;=0.6,"Good",Table1[[#This Row],[Overall Attendance]]&lt;0.6,"Bad")</f>
        <v>Good</v>
      </c>
      <c r="K470" s="4">
        <v>34992</v>
      </c>
      <c r="L470" s="4">
        <f t="shared" si="14"/>
        <v>419904</v>
      </c>
      <c r="M470" s="4" t="str" cm="1">
        <f t="array" ref="M47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70" s="2">
        <v>7.5</v>
      </c>
      <c r="O470" s="2" t="str" cm="1">
        <f t="array" ref="O470">_xlfn.IFS(Table1[[#This Row],[Distance to School (km)]]&gt;=5,"Far",Table1[[#This Row],[Distance to School (km)]]&lt;5,"Near")</f>
        <v>Far</v>
      </c>
      <c r="P470" s="5">
        <f t="shared" si="15"/>
        <v>0.33000000000000007</v>
      </c>
    </row>
    <row r="471" spans="1:16" ht="15" hidden="1" x14ac:dyDescent="0.25">
      <c r="A471" s="2" t="s">
        <v>476</v>
      </c>
      <c r="B471" s="2" t="s">
        <v>660</v>
      </c>
      <c r="C471" s="2" t="s">
        <v>691</v>
      </c>
      <c r="D471" s="2" t="s">
        <v>738</v>
      </c>
      <c r="E471" s="2">
        <v>15</v>
      </c>
      <c r="F471" s="2" t="str" cm="1">
        <f t="array" ref="F471">_xlfn.IFS(Table1[[#This Row],[Age]]&lt;=16,"15-16",Table1[[#This Row],[Age]]&lt;19,"17-18")</f>
        <v>15-16</v>
      </c>
      <c r="G471" s="2" t="s">
        <v>758</v>
      </c>
      <c r="H471" s="3">
        <v>0.48599999999999999</v>
      </c>
      <c r="I471" s="3">
        <v>0.7659999999999999</v>
      </c>
      <c r="J471" s="3" t="str" cm="1">
        <f t="array" ref="J471">_xlfn.IFS(Table1[[#This Row],[Overall Attendance]]&gt;=0.6,"Good",Table1[[#This Row],[Overall Attendance]]&lt;0.6,"Bad")</f>
        <v>Good</v>
      </c>
      <c r="K471" s="4">
        <v>41017</v>
      </c>
      <c r="L471" s="4">
        <f t="shared" si="14"/>
        <v>492204</v>
      </c>
      <c r="M471" s="4" t="str" cm="1">
        <f t="array" ref="M47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71" s="2">
        <v>5.7</v>
      </c>
      <c r="O471" s="2" t="str" cm="1">
        <f t="array" ref="O471">_xlfn.IFS(Table1[[#This Row],[Distance to School (km)]]&gt;=5,"Far",Table1[[#This Row],[Distance to School (km)]]&lt;5,"Near")</f>
        <v>Far</v>
      </c>
      <c r="P471" s="5">
        <f t="shared" si="15"/>
        <v>0.37400000000000011</v>
      </c>
    </row>
    <row r="472" spans="1:16" ht="15" x14ac:dyDescent="0.25">
      <c r="A472" s="2" t="s">
        <v>477</v>
      </c>
      <c r="B472" s="2" t="s">
        <v>656</v>
      </c>
      <c r="C472" s="2" t="s">
        <v>730</v>
      </c>
      <c r="D472" s="2" t="s">
        <v>755</v>
      </c>
      <c r="E472" s="2">
        <v>18</v>
      </c>
      <c r="F472" s="2" t="str" cm="1">
        <f t="array" ref="F472">_xlfn.IFS(Table1[[#This Row],[Age]]&lt;=16,"15-16",Table1[[#This Row],[Age]]&lt;19,"17-18")</f>
        <v>17-18</v>
      </c>
      <c r="G472" s="2" t="s">
        <v>757</v>
      </c>
      <c r="H472" s="3">
        <v>0.65400000000000003</v>
      </c>
      <c r="I472" s="3">
        <v>0.81700000000000006</v>
      </c>
      <c r="J472" s="3" t="str" cm="1">
        <f t="array" ref="J472">_xlfn.IFS(Table1[[#This Row],[Overall Attendance]]&gt;=0.6,"Good",Table1[[#This Row],[Overall Attendance]]&lt;0.6,"Bad")</f>
        <v>Good</v>
      </c>
      <c r="K472" s="4">
        <v>83825</v>
      </c>
      <c r="L472" s="4">
        <f t="shared" si="14"/>
        <v>1005900</v>
      </c>
      <c r="M472" s="4" t="str" cm="1">
        <f t="array" ref="M47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72" s="2">
        <v>3.8</v>
      </c>
      <c r="O472" s="2" t="str" cm="1">
        <f t="array" ref="O472">_xlfn.IFS(Table1[[#This Row],[Distance to School (km)]]&gt;=5,"Far",Table1[[#This Row],[Distance to School (km)]]&lt;5,"Near")</f>
        <v>Near</v>
      </c>
      <c r="P472" s="5">
        <f t="shared" si="15"/>
        <v>0.26449999999999996</v>
      </c>
    </row>
    <row r="473" spans="1:16" ht="15" x14ac:dyDescent="0.25">
      <c r="A473" s="2" t="s">
        <v>478</v>
      </c>
      <c r="B473" s="2" t="s">
        <v>683</v>
      </c>
      <c r="C473" s="2" t="s">
        <v>714</v>
      </c>
      <c r="D473" s="2" t="s">
        <v>744</v>
      </c>
      <c r="E473" s="2">
        <v>18</v>
      </c>
      <c r="F473" s="2" t="str" cm="1">
        <f t="array" ref="F473">_xlfn.IFS(Table1[[#This Row],[Age]]&lt;=16,"15-16",Table1[[#This Row],[Age]]&lt;19,"17-18")</f>
        <v>17-18</v>
      </c>
      <c r="G473" s="2" t="s">
        <v>758</v>
      </c>
      <c r="H473" s="3">
        <v>0.67</v>
      </c>
      <c r="I473" s="3">
        <v>0.89200000000000002</v>
      </c>
      <c r="J473" s="3" t="str" cm="1">
        <f t="array" ref="J473">_xlfn.IFS(Table1[[#This Row],[Overall Attendance]]&gt;=0.6,"Good",Table1[[#This Row],[Overall Attendance]]&lt;0.6,"Bad")</f>
        <v>Good</v>
      </c>
      <c r="K473" s="4">
        <v>237288</v>
      </c>
      <c r="L473" s="4">
        <f t="shared" si="14"/>
        <v>2847456</v>
      </c>
      <c r="M473" s="4" t="str" cm="1">
        <f t="array" ref="M47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73" s="2">
        <v>10</v>
      </c>
      <c r="O473" s="2" t="str" cm="1">
        <f t="array" ref="O473">_xlfn.IFS(Table1[[#This Row],[Distance to School (km)]]&gt;=5,"Far",Table1[[#This Row],[Distance to School (km)]]&lt;5,"Near")</f>
        <v>Far</v>
      </c>
      <c r="P473" s="5">
        <f t="shared" si="15"/>
        <v>0.21899999999999997</v>
      </c>
    </row>
    <row r="474" spans="1:16" ht="15" x14ac:dyDescent="0.25">
      <c r="A474" s="2" t="s">
        <v>479</v>
      </c>
      <c r="B474" s="2" t="s">
        <v>642</v>
      </c>
      <c r="C474" s="2" t="s">
        <v>652</v>
      </c>
      <c r="D474" s="2" t="s">
        <v>743</v>
      </c>
      <c r="E474" s="2">
        <v>18</v>
      </c>
      <c r="F474" s="2" t="str" cm="1">
        <f t="array" ref="F474">_xlfn.IFS(Table1[[#This Row],[Age]]&lt;=16,"15-16",Table1[[#This Row],[Age]]&lt;19,"17-18")</f>
        <v>17-18</v>
      </c>
      <c r="G474" s="2" t="s">
        <v>757</v>
      </c>
      <c r="H474" s="3">
        <v>0.68799999999999994</v>
      </c>
      <c r="I474" s="3">
        <v>0.94</v>
      </c>
      <c r="J474" s="3" t="str" cm="1">
        <f t="array" ref="J474">_xlfn.IFS(Table1[[#This Row],[Overall Attendance]]&gt;=0.6,"Good",Table1[[#This Row],[Overall Attendance]]&lt;0.6,"Bad")</f>
        <v>Good</v>
      </c>
      <c r="K474" s="4">
        <v>235470</v>
      </c>
      <c r="L474" s="4">
        <f t="shared" si="14"/>
        <v>2825640</v>
      </c>
      <c r="M474" s="4" t="str" cm="1">
        <f t="array" ref="M47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74" s="2">
        <v>5.3</v>
      </c>
      <c r="O474" s="2" t="str" cm="1">
        <f t="array" ref="O474">_xlfn.IFS(Table1[[#This Row],[Distance to School (km)]]&gt;=5,"Far",Table1[[#This Row],[Distance to School (km)]]&lt;5,"Near")</f>
        <v>Far</v>
      </c>
      <c r="P474" s="5">
        <f t="shared" si="15"/>
        <v>0.18600000000000005</v>
      </c>
    </row>
    <row r="475" spans="1:16" ht="15" hidden="1" x14ac:dyDescent="0.25">
      <c r="A475" s="2" t="s">
        <v>480</v>
      </c>
      <c r="B475" s="2" t="s">
        <v>664</v>
      </c>
      <c r="C475" s="2" t="s">
        <v>701</v>
      </c>
      <c r="D475" s="2" t="s">
        <v>747</v>
      </c>
      <c r="E475" s="2">
        <v>16</v>
      </c>
      <c r="F475" s="2" t="str" cm="1">
        <f t="array" ref="F475">_xlfn.IFS(Table1[[#This Row],[Age]]&lt;=16,"15-16",Table1[[#This Row],[Age]]&lt;19,"17-18")</f>
        <v>15-16</v>
      </c>
      <c r="G475" s="2" t="s">
        <v>757</v>
      </c>
      <c r="H475" s="3">
        <v>0.82299999999999995</v>
      </c>
      <c r="I475" s="3">
        <v>0.69099999999999995</v>
      </c>
      <c r="J475" s="3" t="str" cm="1">
        <f t="array" ref="J475">_xlfn.IFS(Table1[[#This Row],[Overall Attendance]]&gt;=0.6,"Good",Table1[[#This Row],[Overall Attendance]]&lt;0.6,"Bad")</f>
        <v>Good</v>
      </c>
      <c r="K475" s="4">
        <v>111821</v>
      </c>
      <c r="L475" s="4">
        <f t="shared" si="14"/>
        <v>1341852</v>
      </c>
      <c r="M475" s="4" t="str" cm="1">
        <f t="array" ref="M47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75" s="2">
        <v>8.5</v>
      </c>
      <c r="O475" s="2" t="str" cm="1">
        <f t="array" ref="O475">_xlfn.IFS(Table1[[#This Row],[Distance to School (km)]]&gt;=5,"Far",Table1[[#This Row],[Distance to School (km)]]&lt;5,"Near")</f>
        <v>Far</v>
      </c>
      <c r="P475" s="5">
        <f t="shared" si="15"/>
        <v>0.2430000000000001</v>
      </c>
    </row>
    <row r="476" spans="1:16" ht="15" x14ac:dyDescent="0.25">
      <c r="A476" s="2" t="s">
        <v>481</v>
      </c>
      <c r="B476" s="2" t="s">
        <v>661</v>
      </c>
      <c r="C476" s="2" t="s">
        <v>703</v>
      </c>
      <c r="D476" s="2" t="s">
        <v>646</v>
      </c>
      <c r="E476" s="2">
        <v>18</v>
      </c>
      <c r="F476" s="2" t="str" cm="1">
        <f t="array" ref="F476">_xlfn.IFS(Table1[[#This Row],[Age]]&lt;=16,"15-16",Table1[[#This Row],[Age]]&lt;19,"17-18")</f>
        <v>17-18</v>
      </c>
      <c r="G476" s="2" t="s">
        <v>757</v>
      </c>
      <c r="H476" s="3">
        <v>0.21</v>
      </c>
      <c r="I476" s="3">
        <v>0.3</v>
      </c>
      <c r="J476" s="3" t="str" cm="1">
        <f t="array" ref="J476">_xlfn.IFS(Table1[[#This Row],[Overall Attendance]]&gt;=0.6,"Good",Table1[[#This Row],[Overall Attendance]]&lt;0.6,"Bad")</f>
        <v>Bad</v>
      </c>
      <c r="K476" s="4">
        <v>96353</v>
      </c>
      <c r="L476" s="4">
        <f t="shared" si="14"/>
        <v>1156236</v>
      </c>
      <c r="M476" s="4" t="str" cm="1">
        <f t="array" ref="M47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76" s="2">
        <v>4.9000000000000004</v>
      </c>
      <c r="O476" s="2" t="str" cm="1">
        <f t="array" ref="O476">_xlfn.IFS(Table1[[#This Row],[Distance to School (km)]]&gt;=5,"Far",Table1[[#This Row],[Distance to School (km)]]&lt;5,"Near")</f>
        <v>Near</v>
      </c>
      <c r="P476" s="5">
        <f t="shared" si="15"/>
        <v>0.745</v>
      </c>
    </row>
    <row r="477" spans="1:16" ht="15" x14ac:dyDescent="0.25">
      <c r="A477" s="2" t="s">
        <v>482</v>
      </c>
      <c r="B477" s="2" t="s">
        <v>643</v>
      </c>
      <c r="C477" s="2" t="s">
        <v>687</v>
      </c>
      <c r="D477" s="2" t="s">
        <v>754</v>
      </c>
      <c r="E477" s="2">
        <v>17</v>
      </c>
      <c r="F477" s="2" t="str" cm="1">
        <f t="array" ref="F477">_xlfn.IFS(Table1[[#This Row],[Age]]&lt;=16,"15-16",Table1[[#This Row],[Age]]&lt;19,"17-18")</f>
        <v>17-18</v>
      </c>
      <c r="G477" s="2" t="s">
        <v>757</v>
      </c>
      <c r="H477" s="3">
        <v>0.45899999999999996</v>
      </c>
      <c r="I477" s="3">
        <v>0.7609999999999999</v>
      </c>
      <c r="J477" s="3" t="str" cm="1">
        <f t="array" ref="J477">_xlfn.IFS(Table1[[#This Row],[Overall Attendance]]&gt;=0.6,"Good",Table1[[#This Row],[Overall Attendance]]&lt;0.6,"Bad")</f>
        <v>Good</v>
      </c>
      <c r="K477" s="4">
        <v>24918</v>
      </c>
      <c r="L477" s="4">
        <f t="shared" si="14"/>
        <v>299016</v>
      </c>
      <c r="M477" s="4" t="str" cm="1">
        <f t="array" ref="M47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77" s="2">
        <v>5.3</v>
      </c>
      <c r="O477" s="2" t="str" cm="1">
        <f t="array" ref="O477">_xlfn.IFS(Table1[[#This Row],[Distance to School (km)]]&gt;=5,"Far",Table1[[#This Row],[Distance to School (km)]]&lt;5,"Near")</f>
        <v>Far</v>
      </c>
      <c r="P477" s="5">
        <f t="shared" si="15"/>
        <v>0.39000000000000012</v>
      </c>
    </row>
    <row r="478" spans="1:16" ht="15" x14ac:dyDescent="0.25">
      <c r="A478" s="2" t="s">
        <v>483</v>
      </c>
      <c r="B478" s="2" t="s">
        <v>653</v>
      </c>
      <c r="C478" s="2" t="s">
        <v>705</v>
      </c>
      <c r="D478" s="2" t="s">
        <v>752</v>
      </c>
      <c r="E478" s="2">
        <v>18</v>
      </c>
      <c r="F478" s="2" t="str" cm="1">
        <f t="array" ref="F478">_xlfn.IFS(Table1[[#This Row],[Age]]&lt;=16,"15-16",Table1[[#This Row],[Age]]&lt;19,"17-18")</f>
        <v>17-18</v>
      </c>
      <c r="G478" s="2" t="s">
        <v>758</v>
      </c>
      <c r="H478" s="3">
        <v>0.66700000000000004</v>
      </c>
      <c r="I478" s="3">
        <v>0.85599999999999998</v>
      </c>
      <c r="J478" s="3" t="str" cm="1">
        <f t="array" ref="J478">_xlfn.IFS(Table1[[#This Row],[Overall Attendance]]&gt;=0.6,"Good",Table1[[#This Row],[Overall Attendance]]&lt;0.6,"Bad")</f>
        <v>Good</v>
      </c>
      <c r="K478" s="4">
        <v>26647</v>
      </c>
      <c r="L478" s="4">
        <f t="shared" si="14"/>
        <v>319764</v>
      </c>
      <c r="M478" s="4" t="str" cm="1">
        <f t="array" ref="M47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78" s="2">
        <v>5.8</v>
      </c>
      <c r="O478" s="2" t="str" cm="1">
        <f t="array" ref="O478">_xlfn.IFS(Table1[[#This Row],[Distance to School (km)]]&gt;=5,"Far",Table1[[#This Row],[Distance to School (km)]]&lt;5,"Near")</f>
        <v>Far</v>
      </c>
      <c r="P478" s="5">
        <f t="shared" si="15"/>
        <v>0.23849999999999993</v>
      </c>
    </row>
    <row r="479" spans="1:16" ht="15" x14ac:dyDescent="0.25">
      <c r="A479" s="2" t="s">
        <v>484</v>
      </c>
      <c r="B479" s="2" t="s">
        <v>672</v>
      </c>
      <c r="C479" s="2" t="s">
        <v>651</v>
      </c>
      <c r="D479" s="2" t="s">
        <v>736</v>
      </c>
      <c r="E479" s="2">
        <v>17</v>
      </c>
      <c r="F479" s="2" t="str" cm="1">
        <f t="array" ref="F479">_xlfn.IFS(Table1[[#This Row],[Age]]&lt;=16,"15-16",Table1[[#This Row],[Age]]&lt;19,"17-18")</f>
        <v>17-18</v>
      </c>
      <c r="G479" s="2" t="s">
        <v>757</v>
      </c>
      <c r="H479" s="3">
        <v>0.65599999999999992</v>
      </c>
      <c r="I479" s="3">
        <v>0.96400000000000008</v>
      </c>
      <c r="J479" s="3" t="str" cm="1">
        <f t="array" ref="J479">_xlfn.IFS(Table1[[#This Row],[Overall Attendance]]&gt;=0.6,"Good",Table1[[#This Row],[Overall Attendance]]&lt;0.6,"Bad")</f>
        <v>Good</v>
      </c>
      <c r="K479" s="4">
        <v>34868</v>
      </c>
      <c r="L479" s="4">
        <f t="shared" si="14"/>
        <v>418416</v>
      </c>
      <c r="M479" s="4" t="str" cm="1">
        <f t="array" ref="M47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79" s="2">
        <v>3.3</v>
      </c>
      <c r="O479" s="2" t="str" cm="1">
        <f t="array" ref="O479">_xlfn.IFS(Table1[[#This Row],[Distance to School (km)]]&gt;=5,"Far",Table1[[#This Row],[Distance to School (km)]]&lt;5,"Near")</f>
        <v>Near</v>
      </c>
      <c r="P479" s="5">
        <f t="shared" si="15"/>
        <v>0.18999999999999995</v>
      </c>
    </row>
    <row r="480" spans="1:16" ht="15" hidden="1" x14ac:dyDescent="0.25">
      <c r="A480" s="2" t="s">
        <v>485</v>
      </c>
      <c r="B480" s="2" t="s">
        <v>684</v>
      </c>
      <c r="C480" s="2" t="s">
        <v>702</v>
      </c>
      <c r="D480" s="2" t="s">
        <v>751</v>
      </c>
      <c r="E480" s="2">
        <v>15</v>
      </c>
      <c r="F480" s="2" t="str" cm="1">
        <f t="array" ref="F480">_xlfn.IFS(Table1[[#This Row],[Age]]&lt;=16,"15-16",Table1[[#This Row],[Age]]&lt;19,"17-18")</f>
        <v>15-16</v>
      </c>
      <c r="G480" s="2" t="s">
        <v>757</v>
      </c>
      <c r="H480" s="3">
        <v>0.72499999999999998</v>
      </c>
      <c r="I480" s="3">
        <v>0.85099999999999998</v>
      </c>
      <c r="J480" s="3" t="str" cm="1">
        <f t="array" ref="J480">_xlfn.IFS(Table1[[#This Row],[Overall Attendance]]&gt;=0.6,"Good",Table1[[#This Row],[Overall Attendance]]&lt;0.6,"Bad")</f>
        <v>Good</v>
      </c>
      <c r="K480" s="4">
        <v>187425</v>
      </c>
      <c r="L480" s="4">
        <f t="shared" si="14"/>
        <v>2249100</v>
      </c>
      <c r="M480" s="4" t="str" cm="1">
        <f t="array" ref="M48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80" s="2">
        <v>4.3</v>
      </c>
      <c r="O480" s="2" t="str" cm="1">
        <f t="array" ref="O480">_xlfn.IFS(Table1[[#This Row],[Distance to School (km)]]&gt;=5,"Far",Table1[[#This Row],[Distance to School (km)]]&lt;5,"Near")</f>
        <v>Near</v>
      </c>
      <c r="P480" s="5">
        <f t="shared" si="15"/>
        <v>0.21199999999999997</v>
      </c>
    </row>
    <row r="481" spans="1:16" ht="15" x14ac:dyDescent="0.25">
      <c r="A481" s="2" t="s">
        <v>486</v>
      </c>
      <c r="B481" s="2" t="s">
        <v>654</v>
      </c>
      <c r="C481" s="2" t="s">
        <v>731</v>
      </c>
      <c r="D481" s="2" t="s">
        <v>752</v>
      </c>
      <c r="E481" s="2">
        <v>17</v>
      </c>
      <c r="F481" s="2" t="str" cm="1">
        <f t="array" ref="F481">_xlfn.IFS(Table1[[#This Row],[Age]]&lt;=16,"15-16",Table1[[#This Row],[Age]]&lt;19,"17-18")</f>
        <v>17-18</v>
      </c>
      <c r="G481" s="2" t="s">
        <v>757</v>
      </c>
      <c r="H481" s="3">
        <v>0.67200000000000004</v>
      </c>
      <c r="I481" s="3">
        <v>0.88900000000000001</v>
      </c>
      <c r="J481" s="3" t="str" cm="1">
        <f t="array" ref="J481">_xlfn.IFS(Table1[[#This Row],[Overall Attendance]]&gt;=0.6,"Good",Table1[[#This Row],[Overall Attendance]]&lt;0.6,"Bad")</f>
        <v>Good</v>
      </c>
      <c r="K481" s="4">
        <v>95320</v>
      </c>
      <c r="L481" s="4">
        <f t="shared" si="14"/>
        <v>1143840</v>
      </c>
      <c r="M481" s="4" t="str" cm="1">
        <f t="array" ref="M48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81" s="2">
        <v>11.6</v>
      </c>
      <c r="O481" s="2" t="str" cm="1">
        <f t="array" ref="O481">_xlfn.IFS(Table1[[#This Row],[Distance to School (km)]]&gt;=5,"Far",Table1[[#This Row],[Distance to School (km)]]&lt;5,"Near")</f>
        <v>Far</v>
      </c>
      <c r="P481" s="5">
        <f t="shared" si="15"/>
        <v>0.21950000000000003</v>
      </c>
    </row>
    <row r="482" spans="1:16" ht="15" hidden="1" x14ac:dyDescent="0.25">
      <c r="A482" s="2" t="s">
        <v>487</v>
      </c>
      <c r="B482" s="2" t="s">
        <v>676</v>
      </c>
      <c r="C482" s="2" t="s">
        <v>703</v>
      </c>
      <c r="D482" s="2" t="s">
        <v>754</v>
      </c>
      <c r="E482" s="2">
        <v>16</v>
      </c>
      <c r="F482" s="2" t="str" cm="1">
        <f t="array" ref="F482">_xlfn.IFS(Table1[[#This Row],[Age]]&lt;=16,"15-16",Table1[[#This Row],[Age]]&lt;19,"17-18")</f>
        <v>15-16</v>
      </c>
      <c r="G482" s="2" t="s">
        <v>757</v>
      </c>
      <c r="H482" s="3">
        <v>0.54100000000000004</v>
      </c>
      <c r="I482" s="3">
        <v>0.89200000000000002</v>
      </c>
      <c r="J482" s="3" t="str" cm="1">
        <f t="array" ref="J482">_xlfn.IFS(Table1[[#This Row],[Overall Attendance]]&gt;=0.6,"Good",Table1[[#This Row],[Overall Attendance]]&lt;0.6,"Bad")</f>
        <v>Good</v>
      </c>
      <c r="K482" s="4">
        <v>22217</v>
      </c>
      <c r="L482" s="4">
        <f t="shared" si="14"/>
        <v>266604</v>
      </c>
      <c r="M482" s="4" t="str" cm="1">
        <f t="array" ref="M48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82" s="2">
        <v>3.9</v>
      </c>
      <c r="O482" s="2" t="str" cm="1">
        <f t="array" ref="O482">_xlfn.IFS(Table1[[#This Row],[Distance to School (km)]]&gt;=5,"Far",Table1[[#This Row],[Distance to School (km)]]&lt;5,"Near")</f>
        <v>Near</v>
      </c>
      <c r="P482" s="5">
        <f t="shared" si="15"/>
        <v>0.28349999999999997</v>
      </c>
    </row>
    <row r="483" spans="1:16" ht="15" hidden="1" x14ac:dyDescent="0.25">
      <c r="A483" s="2" t="s">
        <v>488</v>
      </c>
      <c r="B483" s="2" t="s">
        <v>641</v>
      </c>
      <c r="C483" s="2" t="s">
        <v>656</v>
      </c>
      <c r="D483" s="2" t="s">
        <v>754</v>
      </c>
      <c r="E483" s="2">
        <v>15</v>
      </c>
      <c r="F483" s="2" t="str" cm="1">
        <f t="array" ref="F483">_xlfn.IFS(Table1[[#This Row],[Age]]&lt;=16,"15-16",Table1[[#This Row],[Age]]&lt;19,"17-18")</f>
        <v>15-16</v>
      </c>
      <c r="G483" s="2" t="s">
        <v>757</v>
      </c>
      <c r="H483" s="3">
        <v>0.47600000000000003</v>
      </c>
      <c r="I483" s="3">
        <v>0.79900000000000004</v>
      </c>
      <c r="J483" s="3" t="str" cm="1">
        <f t="array" ref="J483">_xlfn.IFS(Table1[[#This Row],[Overall Attendance]]&gt;=0.6,"Good",Table1[[#This Row],[Overall Attendance]]&lt;0.6,"Bad")</f>
        <v>Good</v>
      </c>
      <c r="K483" s="4">
        <v>42800</v>
      </c>
      <c r="L483" s="4">
        <f t="shared" si="14"/>
        <v>513600</v>
      </c>
      <c r="M483" s="4" t="str" cm="1">
        <f t="array" ref="M48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83" s="2">
        <v>7.1</v>
      </c>
      <c r="O483" s="2" t="str" cm="1">
        <f t="array" ref="O483">_xlfn.IFS(Table1[[#This Row],[Distance to School (km)]]&gt;=5,"Far",Table1[[#This Row],[Distance to School (km)]]&lt;5,"Near")</f>
        <v>Far</v>
      </c>
      <c r="P483" s="5">
        <f t="shared" si="15"/>
        <v>0.36249999999999993</v>
      </c>
    </row>
    <row r="484" spans="1:16" ht="15" x14ac:dyDescent="0.25">
      <c r="A484" s="2" t="s">
        <v>489</v>
      </c>
      <c r="B484" s="2" t="s">
        <v>658</v>
      </c>
      <c r="C484" s="2" t="s">
        <v>718</v>
      </c>
      <c r="D484" s="2" t="s">
        <v>646</v>
      </c>
      <c r="E484" s="2">
        <v>18</v>
      </c>
      <c r="F484" s="2" t="str" cm="1">
        <f t="array" ref="F484">_xlfn.IFS(Table1[[#This Row],[Age]]&lt;=16,"15-16",Table1[[#This Row],[Age]]&lt;19,"17-18")</f>
        <v>17-18</v>
      </c>
      <c r="G484" s="2" t="s">
        <v>758</v>
      </c>
      <c r="H484" s="3">
        <v>0.34</v>
      </c>
      <c r="I484" s="3">
        <v>0.12</v>
      </c>
      <c r="J484" s="3" t="str" cm="1">
        <f t="array" ref="J484">_xlfn.IFS(Table1[[#This Row],[Overall Attendance]]&gt;=0.6,"Good",Table1[[#This Row],[Overall Attendance]]&lt;0.6,"Bad")</f>
        <v>Bad</v>
      </c>
      <c r="K484" s="4">
        <v>168865</v>
      </c>
      <c r="L484" s="4">
        <f t="shared" si="14"/>
        <v>2026380</v>
      </c>
      <c r="M484" s="4" t="str" cm="1">
        <f t="array" ref="M48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84" s="2">
        <v>11.2</v>
      </c>
      <c r="O484" s="2" t="str" cm="1">
        <f t="array" ref="O484">_xlfn.IFS(Table1[[#This Row],[Distance to School (km)]]&gt;=5,"Far",Table1[[#This Row],[Distance to School (km)]]&lt;5,"Near")</f>
        <v>Far</v>
      </c>
      <c r="P484" s="5">
        <f t="shared" si="15"/>
        <v>0.77</v>
      </c>
    </row>
    <row r="485" spans="1:16" ht="15" hidden="1" x14ac:dyDescent="0.25">
      <c r="A485" s="2" t="s">
        <v>490</v>
      </c>
      <c r="B485" s="2" t="s">
        <v>684</v>
      </c>
      <c r="C485" s="2" t="s">
        <v>719</v>
      </c>
      <c r="D485" s="2" t="s">
        <v>737</v>
      </c>
      <c r="E485" s="2">
        <v>15</v>
      </c>
      <c r="F485" s="2" t="str" cm="1">
        <f t="array" ref="F485">_xlfn.IFS(Table1[[#This Row],[Age]]&lt;=16,"15-16",Table1[[#This Row],[Age]]&lt;19,"17-18")</f>
        <v>15-16</v>
      </c>
      <c r="G485" s="2" t="s">
        <v>758</v>
      </c>
      <c r="H485" s="3">
        <v>0.63100000000000001</v>
      </c>
      <c r="I485" s="3">
        <v>0.90200000000000002</v>
      </c>
      <c r="J485" s="3" t="str" cm="1">
        <f t="array" ref="J485">_xlfn.IFS(Table1[[#This Row],[Overall Attendance]]&gt;=0.6,"Good",Table1[[#This Row],[Overall Attendance]]&lt;0.6,"Bad")</f>
        <v>Good</v>
      </c>
      <c r="K485" s="4">
        <v>206288</v>
      </c>
      <c r="L485" s="4">
        <f t="shared" si="14"/>
        <v>2475456</v>
      </c>
      <c r="M485" s="4" t="str" cm="1">
        <f t="array" ref="M48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85" s="2">
        <v>7.7</v>
      </c>
      <c r="O485" s="2" t="str" cm="1">
        <f t="array" ref="O485">_xlfn.IFS(Table1[[#This Row],[Distance to School (km)]]&gt;=5,"Far",Table1[[#This Row],[Distance to School (km)]]&lt;5,"Near")</f>
        <v>Far</v>
      </c>
      <c r="P485" s="5">
        <f t="shared" si="15"/>
        <v>0.23350000000000004</v>
      </c>
    </row>
    <row r="486" spans="1:16" ht="15" x14ac:dyDescent="0.25">
      <c r="A486" s="2" t="s">
        <v>491</v>
      </c>
      <c r="B486" s="2" t="s">
        <v>660</v>
      </c>
      <c r="C486" s="2" t="s">
        <v>732</v>
      </c>
      <c r="D486" s="2" t="s">
        <v>750</v>
      </c>
      <c r="E486" s="2">
        <v>17</v>
      </c>
      <c r="F486" s="2" t="str" cm="1">
        <f t="array" ref="F486">_xlfn.IFS(Table1[[#This Row],[Age]]&lt;=16,"15-16",Table1[[#This Row],[Age]]&lt;19,"17-18")</f>
        <v>17-18</v>
      </c>
      <c r="G486" s="2" t="s">
        <v>757</v>
      </c>
      <c r="H486" s="3">
        <v>0.52700000000000002</v>
      </c>
      <c r="I486" s="3">
        <v>0.86599999999999999</v>
      </c>
      <c r="J486" s="3" t="str" cm="1">
        <f t="array" ref="J486">_xlfn.IFS(Table1[[#This Row],[Overall Attendance]]&gt;=0.6,"Good",Table1[[#This Row],[Overall Attendance]]&lt;0.6,"Bad")</f>
        <v>Good</v>
      </c>
      <c r="K486" s="4">
        <v>91780</v>
      </c>
      <c r="L486" s="4">
        <f t="shared" si="14"/>
        <v>1101360</v>
      </c>
      <c r="M486" s="4" t="str" cm="1">
        <f t="array" ref="M48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86" s="2">
        <v>8.4</v>
      </c>
      <c r="O486" s="2" t="str" cm="1">
        <f t="array" ref="O486">_xlfn.IFS(Table1[[#This Row],[Distance to School (km)]]&gt;=5,"Far",Table1[[#This Row],[Distance to School (km)]]&lt;5,"Near")</f>
        <v>Far</v>
      </c>
      <c r="P486" s="5">
        <f t="shared" si="15"/>
        <v>0.30349999999999999</v>
      </c>
    </row>
    <row r="487" spans="1:16" ht="15" hidden="1" x14ac:dyDescent="0.25">
      <c r="A487" s="2" t="s">
        <v>492</v>
      </c>
      <c r="B487" s="2" t="s">
        <v>676</v>
      </c>
      <c r="C487" s="2" t="s">
        <v>710</v>
      </c>
      <c r="D487" s="2" t="s">
        <v>756</v>
      </c>
      <c r="E487" s="2">
        <v>15</v>
      </c>
      <c r="F487" s="2" t="str" cm="1">
        <f t="array" ref="F487">_xlfn.IFS(Table1[[#This Row],[Age]]&lt;=16,"15-16",Table1[[#This Row],[Age]]&lt;19,"17-18")</f>
        <v>15-16</v>
      </c>
      <c r="G487" s="2" t="s">
        <v>757</v>
      </c>
      <c r="H487" s="3">
        <v>0.42499999999999999</v>
      </c>
      <c r="I487" s="3">
        <v>0.76700000000000002</v>
      </c>
      <c r="J487" s="3" t="str" cm="1">
        <f t="array" ref="J487">_xlfn.IFS(Table1[[#This Row],[Overall Attendance]]&gt;=0.6,"Good",Table1[[#This Row],[Overall Attendance]]&lt;0.6,"Bad")</f>
        <v>Good</v>
      </c>
      <c r="K487" s="4">
        <v>289486</v>
      </c>
      <c r="L487" s="4">
        <f t="shared" si="14"/>
        <v>3473832</v>
      </c>
      <c r="M487" s="4" t="str" cm="1">
        <f t="array" ref="M48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87" s="2">
        <v>8.8000000000000007</v>
      </c>
      <c r="O487" s="2" t="str" cm="1">
        <f t="array" ref="O487">_xlfn.IFS(Table1[[#This Row],[Distance to School (km)]]&gt;=5,"Far",Table1[[#This Row],[Distance to School (km)]]&lt;5,"Near")</f>
        <v>Far</v>
      </c>
      <c r="P487" s="5">
        <f t="shared" si="15"/>
        <v>0.40400000000000003</v>
      </c>
    </row>
    <row r="488" spans="1:16" ht="15" x14ac:dyDescent="0.25">
      <c r="A488" s="2" t="s">
        <v>493</v>
      </c>
      <c r="B488" s="2" t="s">
        <v>682</v>
      </c>
      <c r="C488" s="2" t="s">
        <v>699</v>
      </c>
      <c r="D488" s="2" t="s">
        <v>754</v>
      </c>
      <c r="E488" s="2">
        <v>18</v>
      </c>
      <c r="F488" s="2" t="str" cm="1">
        <f t="array" ref="F488">_xlfn.IFS(Table1[[#This Row],[Age]]&lt;=16,"15-16",Table1[[#This Row],[Age]]&lt;19,"17-18")</f>
        <v>17-18</v>
      </c>
      <c r="G488" s="2" t="s">
        <v>757</v>
      </c>
      <c r="H488" s="3">
        <v>0.74099999999999999</v>
      </c>
      <c r="I488" s="3">
        <v>0.7659999999999999</v>
      </c>
      <c r="J488" s="3" t="str" cm="1">
        <f t="array" ref="J488">_xlfn.IFS(Table1[[#This Row],[Overall Attendance]]&gt;=0.6,"Good",Table1[[#This Row],[Overall Attendance]]&lt;0.6,"Bad")</f>
        <v>Good</v>
      </c>
      <c r="K488" s="4">
        <v>235588</v>
      </c>
      <c r="L488" s="4">
        <f t="shared" si="14"/>
        <v>2827056</v>
      </c>
      <c r="M488" s="4" t="str" cm="1">
        <f t="array" ref="M48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88" s="2">
        <v>2.2999999999999998</v>
      </c>
      <c r="O488" s="2" t="str" cm="1">
        <f t="array" ref="O488">_xlfn.IFS(Table1[[#This Row],[Distance to School (km)]]&gt;=5,"Far",Table1[[#This Row],[Distance to School (km)]]&lt;5,"Near")</f>
        <v>Near</v>
      </c>
      <c r="P488" s="5">
        <f t="shared" si="15"/>
        <v>0.24650000000000005</v>
      </c>
    </row>
    <row r="489" spans="1:16" ht="15" x14ac:dyDescent="0.25">
      <c r="A489" s="2" t="s">
        <v>494</v>
      </c>
      <c r="B489" s="2" t="s">
        <v>654</v>
      </c>
      <c r="C489" s="2" t="s">
        <v>697</v>
      </c>
      <c r="D489" s="2" t="s">
        <v>738</v>
      </c>
      <c r="E489" s="2">
        <v>17</v>
      </c>
      <c r="F489" s="2" t="str" cm="1">
        <f t="array" ref="F489">_xlfn.IFS(Table1[[#This Row],[Age]]&lt;=16,"15-16",Table1[[#This Row],[Age]]&lt;19,"17-18")</f>
        <v>17-18</v>
      </c>
      <c r="G489" s="2" t="s">
        <v>758</v>
      </c>
      <c r="H489" s="3">
        <v>0.75700000000000001</v>
      </c>
      <c r="I489" s="3">
        <v>0.86199999999999999</v>
      </c>
      <c r="J489" s="3" t="str" cm="1">
        <f t="array" ref="J489">_xlfn.IFS(Table1[[#This Row],[Overall Attendance]]&gt;=0.6,"Good",Table1[[#This Row],[Overall Attendance]]&lt;0.6,"Bad")</f>
        <v>Good</v>
      </c>
      <c r="K489" s="4">
        <v>38512</v>
      </c>
      <c r="L489" s="4">
        <f t="shared" si="14"/>
        <v>462144</v>
      </c>
      <c r="M489" s="4" t="str" cm="1">
        <f t="array" ref="M48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89" s="2">
        <v>2.9</v>
      </c>
      <c r="O489" s="2" t="str" cm="1">
        <f t="array" ref="O489">_xlfn.IFS(Table1[[#This Row],[Distance to School (km)]]&gt;=5,"Far",Table1[[#This Row],[Distance to School (km)]]&lt;5,"Near")</f>
        <v>Near</v>
      </c>
      <c r="P489" s="5">
        <f t="shared" si="15"/>
        <v>0.1905</v>
      </c>
    </row>
    <row r="490" spans="1:16" ht="15" hidden="1" x14ac:dyDescent="0.25">
      <c r="A490" s="2" t="s">
        <v>495</v>
      </c>
      <c r="B490" s="2" t="s">
        <v>662</v>
      </c>
      <c r="C490" s="2" t="s">
        <v>693</v>
      </c>
      <c r="D490" s="2" t="s">
        <v>741</v>
      </c>
      <c r="E490" s="2">
        <v>15</v>
      </c>
      <c r="F490" s="2" t="str" cm="1">
        <f t="array" ref="F490">_xlfn.IFS(Table1[[#This Row],[Age]]&lt;=16,"15-16",Table1[[#This Row],[Age]]&lt;19,"17-18")</f>
        <v>15-16</v>
      </c>
      <c r="G490" s="2" t="s">
        <v>758</v>
      </c>
      <c r="H490" s="3">
        <v>0.67900000000000005</v>
      </c>
      <c r="I490" s="3">
        <v>0.74299999999999999</v>
      </c>
      <c r="J490" s="3" t="str" cm="1">
        <f t="array" ref="J490">_xlfn.IFS(Table1[[#This Row],[Overall Attendance]]&gt;=0.6,"Good",Table1[[#This Row],[Overall Attendance]]&lt;0.6,"Bad")</f>
        <v>Good</v>
      </c>
      <c r="K490" s="4">
        <v>243508</v>
      </c>
      <c r="L490" s="4">
        <f t="shared" si="14"/>
        <v>2922096</v>
      </c>
      <c r="M490" s="4" t="str" cm="1">
        <f t="array" ref="M49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90" s="2">
        <v>2.7</v>
      </c>
      <c r="O490" s="2" t="str" cm="1">
        <f t="array" ref="O490">_xlfn.IFS(Table1[[#This Row],[Distance to School (km)]]&gt;=5,"Far",Table1[[#This Row],[Distance to School (km)]]&lt;5,"Near")</f>
        <v>Near</v>
      </c>
      <c r="P490" s="5">
        <f t="shared" si="15"/>
        <v>0.28899999999999992</v>
      </c>
    </row>
    <row r="491" spans="1:16" ht="15" x14ac:dyDescent="0.25">
      <c r="A491" s="2" t="s">
        <v>496</v>
      </c>
      <c r="B491" s="2" t="s">
        <v>667</v>
      </c>
      <c r="C491" s="2" t="s">
        <v>713</v>
      </c>
      <c r="D491" s="2" t="s">
        <v>646</v>
      </c>
      <c r="E491" s="2">
        <v>17</v>
      </c>
      <c r="F491" s="2" t="str" cm="1">
        <f t="array" ref="F491">_xlfn.IFS(Table1[[#This Row],[Age]]&lt;=16,"15-16",Table1[[#This Row],[Age]]&lt;19,"17-18")</f>
        <v>17-18</v>
      </c>
      <c r="G491" s="2" t="s">
        <v>758</v>
      </c>
      <c r="H491" s="3">
        <v>0.74199999999999999</v>
      </c>
      <c r="I491" s="3">
        <v>0.84</v>
      </c>
      <c r="J491" s="3" t="str" cm="1">
        <f t="array" ref="J491">_xlfn.IFS(Table1[[#This Row],[Overall Attendance]]&gt;=0.6,"Good",Table1[[#This Row],[Overall Attendance]]&lt;0.6,"Bad")</f>
        <v>Good</v>
      </c>
      <c r="K491" s="4">
        <v>148705</v>
      </c>
      <c r="L491" s="4">
        <f t="shared" si="14"/>
        <v>1784460</v>
      </c>
      <c r="M491" s="4" t="str" cm="1">
        <f t="array" ref="M49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91" s="2">
        <v>3</v>
      </c>
      <c r="O491" s="2" t="str" cm="1">
        <f t="array" ref="O491">_xlfn.IFS(Table1[[#This Row],[Distance to School (km)]]&gt;=5,"Far",Table1[[#This Row],[Distance to School (km)]]&lt;5,"Near")</f>
        <v>Near</v>
      </c>
      <c r="P491" s="5">
        <f t="shared" si="15"/>
        <v>0.20900000000000007</v>
      </c>
    </row>
    <row r="492" spans="1:16" ht="15" x14ac:dyDescent="0.25">
      <c r="A492" s="2" t="s">
        <v>497</v>
      </c>
      <c r="B492" s="2" t="s">
        <v>651</v>
      </c>
      <c r="C492" s="2" t="s">
        <v>731</v>
      </c>
      <c r="D492" s="2" t="s">
        <v>745</v>
      </c>
      <c r="E492" s="2">
        <v>18</v>
      </c>
      <c r="F492" s="2" t="str" cm="1">
        <f t="array" ref="F492">_xlfn.IFS(Table1[[#This Row],[Age]]&lt;=16,"15-16",Table1[[#This Row],[Age]]&lt;19,"17-18")</f>
        <v>17-18</v>
      </c>
      <c r="G492" s="2" t="s">
        <v>757</v>
      </c>
      <c r="H492" s="3">
        <v>0.66599999999999993</v>
      </c>
      <c r="I492" s="3">
        <v>0.60199999999999998</v>
      </c>
      <c r="J492" s="3" t="str" cm="1">
        <f t="array" ref="J492">_xlfn.IFS(Table1[[#This Row],[Overall Attendance]]&gt;=0.6,"Good",Table1[[#This Row],[Overall Attendance]]&lt;0.6,"Bad")</f>
        <v>Good</v>
      </c>
      <c r="K492" s="4">
        <v>83161</v>
      </c>
      <c r="L492" s="4">
        <f t="shared" si="14"/>
        <v>997932</v>
      </c>
      <c r="M492" s="4" t="str" cm="1">
        <f t="array" ref="M49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92" s="2">
        <v>2.7</v>
      </c>
      <c r="O492" s="2" t="str" cm="1">
        <f t="array" ref="O492">_xlfn.IFS(Table1[[#This Row],[Distance to School (km)]]&gt;=5,"Far",Table1[[#This Row],[Distance to School (km)]]&lt;5,"Near")</f>
        <v>Near</v>
      </c>
      <c r="P492" s="5">
        <f t="shared" si="15"/>
        <v>0.3660000000000001</v>
      </c>
    </row>
    <row r="493" spans="1:16" ht="15" hidden="1" x14ac:dyDescent="0.25">
      <c r="A493" s="2" t="s">
        <v>498</v>
      </c>
      <c r="B493" s="2" t="s">
        <v>667</v>
      </c>
      <c r="C493" s="2" t="s">
        <v>714</v>
      </c>
      <c r="D493" s="2" t="s">
        <v>751</v>
      </c>
      <c r="E493" s="2">
        <v>15</v>
      </c>
      <c r="F493" s="2" t="str" cm="1">
        <f t="array" ref="F493">_xlfn.IFS(Table1[[#This Row],[Age]]&lt;=16,"15-16",Table1[[#This Row],[Age]]&lt;19,"17-18")</f>
        <v>15-16</v>
      </c>
      <c r="G493" s="2" t="s">
        <v>758</v>
      </c>
      <c r="H493" s="3">
        <v>0.627</v>
      </c>
      <c r="I493" s="3">
        <v>0.77500000000000002</v>
      </c>
      <c r="J493" s="3" t="str" cm="1">
        <f t="array" ref="J493">_xlfn.IFS(Table1[[#This Row],[Overall Attendance]]&gt;=0.6,"Good",Table1[[#This Row],[Overall Attendance]]&lt;0.6,"Bad")</f>
        <v>Good</v>
      </c>
      <c r="K493" s="4">
        <v>36913</v>
      </c>
      <c r="L493" s="4">
        <f t="shared" si="14"/>
        <v>442956</v>
      </c>
      <c r="M493" s="4" t="str" cm="1">
        <f t="array" ref="M49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493" s="2">
        <v>5.8</v>
      </c>
      <c r="O493" s="2" t="str" cm="1">
        <f t="array" ref="O493">_xlfn.IFS(Table1[[#This Row],[Distance to School (km)]]&gt;=5,"Far",Table1[[#This Row],[Distance to School (km)]]&lt;5,"Near")</f>
        <v>Far</v>
      </c>
      <c r="P493" s="5">
        <f t="shared" si="15"/>
        <v>0.29899999999999993</v>
      </c>
    </row>
    <row r="494" spans="1:16" ht="15" x14ac:dyDescent="0.25">
      <c r="A494" s="2" t="s">
        <v>499</v>
      </c>
      <c r="B494" s="2" t="s">
        <v>644</v>
      </c>
      <c r="C494" s="2" t="s">
        <v>710</v>
      </c>
      <c r="D494" s="2" t="s">
        <v>668</v>
      </c>
      <c r="E494" s="2">
        <v>17</v>
      </c>
      <c r="F494" s="2" t="str" cm="1">
        <f t="array" ref="F494">_xlfn.IFS(Table1[[#This Row],[Age]]&lt;=16,"15-16",Table1[[#This Row],[Age]]&lt;19,"17-18")</f>
        <v>17-18</v>
      </c>
      <c r="G494" s="2" t="s">
        <v>757</v>
      </c>
      <c r="H494" s="3">
        <v>0.7609999999999999</v>
      </c>
      <c r="I494" s="3">
        <v>0.65500000000000003</v>
      </c>
      <c r="J494" s="3" t="str" cm="1">
        <f t="array" ref="J494">_xlfn.IFS(Table1[[#This Row],[Overall Attendance]]&gt;=0.6,"Good",Table1[[#This Row],[Overall Attendance]]&lt;0.6,"Bad")</f>
        <v>Good</v>
      </c>
      <c r="K494" s="4">
        <v>106048</v>
      </c>
      <c r="L494" s="4">
        <f t="shared" si="14"/>
        <v>1272576</v>
      </c>
      <c r="M494" s="4" t="str" cm="1">
        <f t="array" ref="M49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94" s="2">
        <v>0.8</v>
      </c>
      <c r="O494" s="2" t="str" cm="1">
        <f t="array" ref="O494">_xlfn.IFS(Table1[[#This Row],[Distance to School (km)]]&gt;=5,"Far",Table1[[#This Row],[Distance to School (km)]]&lt;5,"Near")</f>
        <v>Near</v>
      </c>
      <c r="P494" s="5">
        <f t="shared" si="15"/>
        <v>0.29200000000000004</v>
      </c>
    </row>
    <row r="495" spans="1:16" ht="15" x14ac:dyDescent="0.25">
      <c r="A495" s="2" t="s">
        <v>500</v>
      </c>
      <c r="B495" s="2" t="s">
        <v>655</v>
      </c>
      <c r="C495" s="2" t="s">
        <v>735</v>
      </c>
      <c r="D495" s="2" t="s">
        <v>740</v>
      </c>
      <c r="E495" s="2">
        <v>17</v>
      </c>
      <c r="F495" s="2" t="str" cm="1">
        <f t="array" ref="F495">_xlfn.IFS(Table1[[#This Row],[Age]]&lt;=16,"15-16",Table1[[#This Row],[Age]]&lt;19,"17-18")</f>
        <v>17-18</v>
      </c>
      <c r="G495" s="2" t="s">
        <v>757</v>
      </c>
      <c r="H495" s="3">
        <v>0.58599999999999997</v>
      </c>
      <c r="I495" s="3">
        <v>0.94</v>
      </c>
      <c r="J495" s="3" t="str" cm="1">
        <f t="array" ref="J495">_xlfn.IFS(Table1[[#This Row],[Overall Attendance]]&gt;=0.6,"Good",Table1[[#This Row],[Overall Attendance]]&lt;0.6,"Bad")</f>
        <v>Good</v>
      </c>
      <c r="K495" s="4">
        <v>187966</v>
      </c>
      <c r="L495" s="4">
        <f t="shared" si="14"/>
        <v>2255592</v>
      </c>
      <c r="M495" s="4" t="str" cm="1">
        <f t="array" ref="M49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95" s="2">
        <v>2.2000000000000002</v>
      </c>
      <c r="O495" s="2" t="str" cm="1">
        <f t="array" ref="O495">_xlfn.IFS(Table1[[#This Row],[Distance to School (km)]]&gt;=5,"Far",Table1[[#This Row],[Distance to School (km)]]&lt;5,"Near")</f>
        <v>Near</v>
      </c>
      <c r="P495" s="5">
        <f t="shared" si="15"/>
        <v>0.2370000000000001</v>
      </c>
    </row>
    <row r="496" spans="1:16" ht="15" x14ac:dyDescent="0.25">
      <c r="A496" s="2" t="s">
        <v>501</v>
      </c>
      <c r="B496" s="2" t="s">
        <v>660</v>
      </c>
      <c r="C496" s="2" t="s">
        <v>685</v>
      </c>
      <c r="D496" s="2" t="s">
        <v>712</v>
      </c>
      <c r="E496" s="2">
        <v>17</v>
      </c>
      <c r="F496" s="2" t="str" cm="1">
        <f t="array" ref="F496">_xlfn.IFS(Table1[[#This Row],[Age]]&lt;=16,"15-16",Table1[[#This Row],[Age]]&lt;19,"17-18")</f>
        <v>17-18</v>
      </c>
      <c r="G496" s="2" t="s">
        <v>757</v>
      </c>
      <c r="H496" s="3">
        <v>0.53900000000000003</v>
      </c>
      <c r="I496" s="3">
        <v>0.81400000000000006</v>
      </c>
      <c r="J496" s="3" t="str" cm="1">
        <f t="array" ref="J496">_xlfn.IFS(Table1[[#This Row],[Overall Attendance]]&gt;=0.6,"Good",Table1[[#This Row],[Overall Attendance]]&lt;0.6,"Bad")</f>
        <v>Good</v>
      </c>
      <c r="K496" s="4">
        <v>86004</v>
      </c>
      <c r="L496" s="4">
        <f t="shared" si="14"/>
        <v>1032048</v>
      </c>
      <c r="M496" s="4" t="str" cm="1">
        <f t="array" ref="M49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96" s="2">
        <v>11.3</v>
      </c>
      <c r="O496" s="2" t="str" cm="1">
        <f t="array" ref="O496">_xlfn.IFS(Table1[[#This Row],[Distance to School (km)]]&gt;=5,"Far",Table1[[#This Row],[Distance to School (km)]]&lt;5,"Near")</f>
        <v>Far</v>
      </c>
      <c r="P496" s="5">
        <f t="shared" si="15"/>
        <v>0.3234999999999999</v>
      </c>
    </row>
    <row r="497" spans="1:16" ht="15" hidden="1" x14ac:dyDescent="0.25">
      <c r="A497" s="2" t="s">
        <v>502</v>
      </c>
      <c r="B497" s="2" t="s">
        <v>679</v>
      </c>
      <c r="C497" s="2" t="s">
        <v>701</v>
      </c>
      <c r="D497" s="2" t="s">
        <v>748</v>
      </c>
      <c r="E497" s="2">
        <v>15</v>
      </c>
      <c r="F497" s="2" t="str" cm="1">
        <f t="array" ref="F497">_xlfn.IFS(Table1[[#This Row],[Age]]&lt;=16,"15-16",Table1[[#This Row],[Age]]&lt;19,"17-18")</f>
        <v>15-16</v>
      </c>
      <c r="G497" s="2" t="s">
        <v>757</v>
      </c>
      <c r="H497" s="3">
        <v>0.12</v>
      </c>
      <c r="I497" s="3">
        <v>0.34</v>
      </c>
      <c r="J497" s="3" t="str" cm="1">
        <f t="array" ref="J497">_xlfn.IFS(Table1[[#This Row],[Overall Attendance]]&gt;=0.6,"Good",Table1[[#This Row],[Overall Attendance]]&lt;0.6,"Bad")</f>
        <v>Bad</v>
      </c>
      <c r="K497" s="4">
        <v>207601</v>
      </c>
      <c r="L497" s="4">
        <f t="shared" si="14"/>
        <v>2491212</v>
      </c>
      <c r="M497" s="4" t="str" cm="1">
        <f t="array" ref="M49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97" s="2">
        <v>10.9</v>
      </c>
      <c r="O497" s="2" t="str" cm="1">
        <f t="array" ref="O497">_xlfn.IFS(Table1[[#This Row],[Distance to School (km)]]&gt;=5,"Far",Table1[[#This Row],[Distance to School (km)]]&lt;5,"Near")</f>
        <v>Far</v>
      </c>
      <c r="P497" s="5">
        <f t="shared" si="15"/>
        <v>0.77</v>
      </c>
    </row>
    <row r="498" spans="1:16" ht="15" x14ac:dyDescent="0.25">
      <c r="A498" s="2" t="s">
        <v>503</v>
      </c>
      <c r="B498" s="2" t="s">
        <v>649</v>
      </c>
      <c r="C498" s="2" t="s">
        <v>728</v>
      </c>
      <c r="D498" s="2" t="s">
        <v>742</v>
      </c>
      <c r="E498" s="2">
        <v>17</v>
      </c>
      <c r="F498" s="2" t="str" cm="1">
        <f t="array" ref="F498">_xlfn.IFS(Table1[[#This Row],[Age]]&lt;=16,"15-16",Table1[[#This Row],[Age]]&lt;19,"17-18")</f>
        <v>17-18</v>
      </c>
      <c r="G498" s="2" t="s">
        <v>757</v>
      </c>
      <c r="H498" s="3">
        <v>0.55299999999999994</v>
      </c>
      <c r="I498" s="3">
        <v>0.84799999999999998</v>
      </c>
      <c r="J498" s="3" t="str" cm="1">
        <f t="array" ref="J498">_xlfn.IFS(Table1[[#This Row],[Overall Attendance]]&gt;=0.6,"Good",Table1[[#This Row],[Overall Attendance]]&lt;0.6,"Bad")</f>
        <v>Good</v>
      </c>
      <c r="K498" s="4">
        <v>380913</v>
      </c>
      <c r="L498" s="4">
        <f t="shared" si="14"/>
        <v>4570956</v>
      </c>
      <c r="M498" s="4" t="str" cm="1">
        <f t="array" ref="M49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98" s="2">
        <v>7.6</v>
      </c>
      <c r="O498" s="2" t="str" cm="1">
        <f t="array" ref="O498">_xlfn.IFS(Table1[[#This Row],[Distance to School (km)]]&gt;=5,"Far",Table1[[#This Row],[Distance to School (km)]]&lt;5,"Near")</f>
        <v>Far</v>
      </c>
      <c r="P498" s="5">
        <f t="shared" si="15"/>
        <v>0.2995000000000001</v>
      </c>
    </row>
    <row r="499" spans="1:16" ht="15" x14ac:dyDescent="0.25">
      <c r="A499" s="2" t="s">
        <v>504</v>
      </c>
      <c r="B499" s="2" t="s">
        <v>655</v>
      </c>
      <c r="C499" s="2" t="s">
        <v>711</v>
      </c>
      <c r="D499" s="2" t="s">
        <v>646</v>
      </c>
      <c r="E499" s="2">
        <v>18</v>
      </c>
      <c r="F499" s="2" t="str" cm="1">
        <f t="array" ref="F499">_xlfn.IFS(Table1[[#This Row],[Age]]&lt;=16,"15-16",Table1[[#This Row],[Age]]&lt;19,"17-18")</f>
        <v>17-18</v>
      </c>
      <c r="G499" s="2" t="s">
        <v>758</v>
      </c>
      <c r="H499" s="3">
        <v>0.63200000000000001</v>
      </c>
      <c r="I499" s="3">
        <v>0.63800000000000001</v>
      </c>
      <c r="J499" s="3" t="str" cm="1">
        <f t="array" ref="J499">_xlfn.IFS(Table1[[#This Row],[Overall Attendance]]&gt;=0.6,"Good",Table1[[#This Row],[Overall Attendance]]&lt;0.6,"Bad")</f>
        <v>Good</v>
      </c>
      <c r="K499" s="4">
        <v>99529</v>
      </c>
      <c r="L499" s="4">
        <f t="shared" si="14"/>
        <v>1194348</v>
      </c>
      <c r="M499" s="4" t="str" cm="1">
        <f t="array" ref="M49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499" s="2">
        <v>1.6</v>
      </c>
      <c r="O499" s="2" t="str" cm="1">
        <f t="array" ref="O499">_xlfn.IFS(Table1[[#This Row],[Distance to School (km)]]&gt;=5,"Far",Table1[[#This Row],[Distance to School (km)]]&lt;5,"Near")</f>
        <v>Near</v>
      </c>
      <c r="P499" s="5">
        <f t="shared" si="15"/>
        <v>0.36499999999999999</v>
      </c>
    </row>
    <row r="500" spans="1:16" ht="15" x14ac:dyDescent="0.25">
      <c r="A500" s="2" t="s">
        <v>505</v>
      </c>
      <c r="B500" s="2" t="s">
        <v>676</v>
      </c>
      <c r="C500" s="2" t="s">
        <v>690</v>
      </c>
      <c r="D500" s="2" t="s">
        <v>668</v>
      </c>
      <c r="E500" s="2">
        <v>18</v>
      </c>
      <c r="F500" s="2" t="str" cm="1">
        <f t="array" ref="F500">_xlfn.IFS(Table1[[#This Row],[Age]]&lt;=16,"15-16",Table1[[#This Row],[Age]]&lt;19,"17-18")</f>
        <v>17-18</v>
      </c>
      <c r="G500" s="2" t="s">
        <v>757</v>
      </c>
      <c r="H500" s="3">
        <v>0.34</v>
      </c>
      <c r="I500" s="3">
        <v>0.15</v>
      </c>
      <c r="J500" s="3" t="str" cm="1">
        <f t="array" ref="J500">_xlfn.IFS(Table1[[#This Row],[Overall Attendance]]&gt;=0.6,"Good",Table1[[#This Row],[Overall Attendance]]&lt;0.6,"Bad")</f>
        <v>Bad</v>
      </c>
      <c r="K500" s="4">
        <v>129334</v>
      </c>
      <c r="L500" s="4">
        <f t="shared" si="14"/>
        <v>1552008</v>
      </c>
      <c r="M500" s="4" t="str" cm="1">
        <f t="array" ref="M50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00" s="2">
        <v>11</v>
      </c>
      <c r="O500" s="2" t="str" cm="1">
        <f t="array" ref="O500">_xlfn.IFS(Table1[[#This Row],[Distance to School (km)]]&gt;=5,"Far",Table1[[#This Row],[Distance to School (km)]]&lt;5,"Near")</f>
        <v>Far</v>
      </c>
      <c r="P500" s="5">
        <f t="shared" si="15"/>
        <v>0.755</v>
      </c>
    </row>
    <row r="501" spans="1:16" ht="15" x14ac:dyDescent="0.25">
      <c r="A501" s="2" t="s">
        <v>506</v>
      </c>
      <c r="B501" s="2" t="s">
        <v>663</v>
      </c>
      <c r="C501" s="2" t="s">
        <v>656</v>
      </c>
      <c r="D501" s="2" t="s">
        <v>754</v>
      </c>
      <c r="E501" s="2">
        <v>18</v>
      </c>
      <c r="F501" s="2" t="str" cm="1">
        <f t="array" ref="F501">_xlfn.IFS(Table1[[#This Row],[Age]]&lt;=16,"15-16",Table1[[#This Row],[Age]]&lt;19,"17-18")</f>
        <v>17-18</v>
      </c>
      <c r="G501" s="2" t="s">
        <v>757</v>
      </c>
      <c r="H501" s="3">
        <v>0.68</v>
      </c>
      <c r="I501" s="3">
        <v>0.61899999999999999</v>
      </c>
      <c r="J501" s="3" t="str" cm="1">
        <f t="array" ref="J501">_xlfn.IFS(Table1[[#This Row],[Overall Attendance]]&gt;=0.6,"Good",Table1[[#This Row],[Overall Attendance]]&lt;0.6,"Bad")</f>
        <v>Good</v>
      </c>
      <c r="K501" s="4">
        <v>217136</v>
      </c>
      <c r="L501" s="4">
        <f t="shared" si="14"/>
        <v>2605632</v>
      </c>
      <c r="M501" s="4" t="str" cm="1">
        <f t="array" ref="M50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01" s="2">
        <v>1.8</v>
      </c>
      <c r="O501" s="2" t="str" cm="1">
        <f t="array" ref="O501">_xlfn.IFS(Table1[[#This Row],[Distance to School (km)]]&gt;=5,"Far",Table1[[#This Row],[Distance to School (km)]]&lt;5,"Near")</f>
        <v>Near</v>
      </c>
      <c r="P501" s="5">
        <f t="shared" si="15"/>
        <v>0.35050000000000003</v>
      </c>
    </row>
    <row r="502" spans="1:16" ht="15" hidden="1" x14ac:dyDescent="0.25">
      <c r="A502" s="2" t="s">
        <v>507</v>
      </c>
      <c r="B502" s="2" t="s">
        <v>643</v>
      </c>
      <c r="C502" s="2" t="s">
        <v>716</v>
      </c>
      <c r="D502" s="2" t="s">
        <v>748</v>
      </c>
      <c r="E502" s="2">
        <v>15</v>
      </c>
      <c r="F502" s="2" t="str" cm="1">
        <f t="array" ref="F502">_xlfn.IFS(Table1[[#This Row],[Age]]&lt;=16,"15-16",Table1[[#This Row],[Age]]&lt;19,"17-18")</f>
        <v>15-16</v>
      </c>
      <c r="G502" s="2" t="s">
        <v>758</v>
      </c>
      <c r="H502" s="3">
        <v>0.12</v>
      </c>
      <c r="I502" s="3">
        <v>0.1</v>
      </c>
      <c r="J502" s="3" t="str" cm="1">
        <f t="array" ref="J502">_xlfn.IFS(Table1[[#This Row],[Overall Attendance]]&gt;=0.6,"Good",Table1[[#This Row],[Overall Attendance]]&lt;0.6,"Bad")</f>
        <v>Bad</v>
      </c>
      <c r="K502" s="4">
        <v>24174</v>
      </c>
      <c r="L502" s="4">
        <f t="shared" si="14"/>
        <v>290088</v>
      </c>
      <c r="M502" s="4" t="str" cm="1">
        <f t="array" ref="M50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02" s="2">
        <v>4.2</v>
      </c>
      <c r="O502" s="2" t="str" cm="1">
        <f t="array" ref="O502">_xlfn.IFS(Table1[[#This Row],[Distance to School (km)]]&gt;=5,"Far",Table1[[#This Row],[Distance to School (km)]]&lt;5,"Near")</f>
        <v>Near</v>
      </c>
      <c r="P502" s="5">
        <f t="shared" si="15"/>
        <v>0.89</v>
      </c>
    </row>
    <row r="503" spans="1:16" ht="15" hidden="1" x14ac:dyDescent="0.25">
      <c r="A503" s="2" t="s">
        <v>508</v>
      </c>
      <c r="B503" s="2" t="s">
        <v>664</v>
      </c>
      <c r="C503" s="2" t="s">
        <v>694</v>
      </c>
      <c r="D503" s="2" t="s">
        <v>755</v>
      </c>
      <c r="E503" s="2">
        <v>16</v>
      </c>
      <c r="F503" s="2" t="str" cm="1">
        <f t="array" ref="F503">_xlfn.IFS(Table1[[#This Row],[Age]]&lt;=16,"15-16",Table1[[#This Row],[Age]]&lt;19,"17-18")</f>
        <v>15-16</v>
      </c>
      <c r="G503" s="2" t="s">
        <v>758</v>
      </c>
      <c r="H503" s="3">
        <v>0.54500000000000004</v>
      </c>
      <c r="I503" s="3">
        <v>0.78</v>
      </c>
      <c r="J503" s="3" t="str" cm="1">
        <f t="array" ref="J503">_xlfn.IFS(Table1[[#This Row],[Overall Attendance]]&gt;=0.6,"Good",Table1[[#This Row],[Overall Attendance]]&lt;0.6,"Bad")</f>
        <v>Good</v>
      </c>
      <c r="K503" s="4">
        <v>326452</v>
      </c>
      <c r="L503" s="4">
        <f t="shared" si="14"/>
        <v>3917424</v>
      </c>
      <c r="M503" s="4" t="str" cm="1">
        <f t="array" ref="M50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03" s="2">
        <v>1.3</v>
      </c>
      <c r="O503" s="2" t="str" cm="1">
        <f t="array" ref="O503">_xlfn.IFS(Table1[[#This Row],[Distance to School (km)]]&gt;=5,"Far",Table1[[#This Row],[Distance to School (km)]]&lt;5,"Near")</f>
        <v>Near</v>
      </c>
      <c r="P503" s="5">
        <f t="shared" si="15"/>
        <v>0.33749999999999991</v>
      </c>
    </row>
    <row r="504" spans="1:16" ht="15" x14ac:dyDescent="0.25">
      <c r="A504" s="2" t="s">
        <v>509</v>
      </c>
      <c r="B504" s="2" t="s">
        <v>666</v>
      </c>
      <c r="C504" s="2" t="s">
        <v>688</v>
      </c>
      <c r="D504" s="2" t="s">
        <v>747</v>
      </c>
      <c r="E504" s="2">
        <v>18</v>
      </c>
      <c r="F504" s="2" t="str" cm="1">
        <f t="array" ref="F504">_xlfn.IFS(Table1[[#This Row],[Age]]&lt;=16,"15-16",Table1[[#This Row],[Age]]&lt;19,"17-18")</f>
        <v>17-18</v>
      </c>
      <c r="G504" s="2" t="s">
        <v>758</v>
      </c>
      <c r="H504" s="3">
        <v>0.34</v>
      </c>
      <c r="I504" s="3">
        <v>0.23</v>
      </c>
      <c r="J504" s="3" t="str" cm="1">
        <f t="array" ref="J504">_xlfn.IFS(Table1[[#This Row],[Overall Attendance]]&gt;=0.6,"Good",Table1[[#This Row],[Overall Attendance]]&lt;0.6,"Bad")</f>
        <v>Bad</v>
      </c>
      <c r="K504" s="4">
        <v>27738</v>
      </c>
      <c r="L504" s="4">
        <f t="shared" si="14"/>
        <v>332856</v>
      </c>
      <c r="M504" s="4" t="str" cm="1">
        <f t="array" ref="M50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04" s="2">
        <v>9</v>
      </c>
      <c r="O504" s="2" t="str" cm="1">
        <f t="array" ref="O504">_xlfn.IFS(Table1[[#This Row],[Distance to School (km)]]&gt;=5,"Far",Table1[[#This Row],[Distance to School (km)]]&lt;5,"Near")</f>
        <v>Far</v>
      </c>
      <c r="P504" s="5">
        <f t="shared" si="15"/>
        <v>0.71499999999999997</v>
      </c>
    </row>
    <row r="505" spans="1:16" ht="15" x14ac:dyDescent="0.25">
      <c r="A505" s="2" t="s">
        <v>510</v>
      </c>
      <c r="B505" s="2" t="s">
        <v>658</v>
      </c>
      <c r="C505" s="2" t="s">
        <v>676</v>
      </c>
      <c r="D505" s="2" t="s">
        <v>744</v>
      </c>
      <c r="E505" s="2">
        <v>18</v>
      </c>
      <c r="F505" s="2" t="str" cm="1">
        <f t="array" ref="F505">_xlfn.IFS(Table1[[#This Row],[Age]]&lt;=16,"15-16",Table1[[#This Row],[Age]]&lt;19,"17-18")</f>
        <v>17-18</v>
      </c>
      <c r="G505" s="2" t="s">
        <v>757</v>
      </c>
      <c r="H505" s="3">
        <v>0.59499999999999997</v>
      </c>
      <c r="I505" s="3">
        <v>0.86</v>
      </c>
      <c r="J505" s="3" t="str" cm="1">
        <f t="array" ref="J505">_xlfn.IFS(Table1[[#This Row],[Overall Attendance]]&gt;=0.6,"Good",Table1[[#This Row],[Overall Attendance]]&lt;0.6,"Bad")</f>
        <v>Good</v>
      </c>
      <c r="K505" s="4">
        <v>34588</v>
      </c>
      <c r="L505" s="4">
        <f t="shared" si="14"/>
        <v>415056</v>
      </c>
      <c r="M505" s="4" t="str" cm="1">
        <f t="array" ref="M50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05" s="2">
        <v>7.4</v>
      </c>
      <c r="O505" s="2" t="str" cm="1">
        <f t="array" ref="O505">_xlfn.IFS(Table1[[#This Row],[Distance to School (km)]]&gt;=5,"Far",Table1[[#This Row],[Distance to School (km)]]&lt;5,"Near")</f>
        <v>Far</v>
      </c>
      <c r="P505" s="5">
        <f t="shared" si="15"/>
        <v>0.27249999999999996</v>
      </c>
    </row>
    <row r="506" spans="1:16" ht="15" hidden="1" x14ac:dyDescent="0.25">
      <c r="A506" s="2" t="s">
        <v>511</v>
      </c>
      <c r="B506" s="2" t="s">
        <v>677</v>
      </c>
      <c r="C506" s="2" t="s">
        <v>719</v>
      </c>
      <c r="D506" s="2" t="s">
        <v>668</v>
      </c>
      <c r="E506" s="2">
        <v>16</v>
      </c>
      <c r="F506" s="2" t="str" cm="1">
        <f t="array" ref="F506">_xlfn.IFS(Table1[[#This Row],[Age]]&lt;=16,"15-16",Table1[[#This Row],[Age]]&lt;19,"17-18")</f>
        <v>15-16</v>
      </c>
      <c r="G506" s="2" t="s">
        <v>758</v>
      </c>
      <c r="H506" s="3">
        <v>0.15</v>
      </c>
      <c r="I506" s="3">
        <v>0.2</v>
      </c>
      <c r="J506" s="3" t="str" cm="1">
        <f t="array" ref="J506">_xlfn.IFS(Table1[[#This Row],[Overall Attendance]]&gt;=0.6,"Good",Table1[[#This Row],[Overall Attendance]]&lt;0.6,"Bad")</f>
        <v>Bad</v>
      </c>
      <c r="K506" s="4">
        <v>24552</v>
      </c>
      <c r="L506" s="4">
        <f t="shared" si="14"/>
        <v>294624</v>
      </c>
      <c r="M506" s="4" t="str" cm="1">
        <f t="array" ref="M50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06" s="2">
        <v>9.1999999999999993</v>
      </c>
      <c r="O506" s="2" t="str" cm="1">
        <f t="array" ref="O506">_xlfn.IFS(Table1[[#This Row],[Distance to School (km)]]&gt;=5,"Far",Table1[[#This Row],[Distance to School (km)]]&lt;5,"Near")</f>
        <v>Far</v>
      </c>
      <c r="P506" s="5">
        <f t="shared" si="15"/>
        <v>0.82499999999999996</v>
      </c>
    </row>
    <row r="507" spans="1:16" ht="15" x14ac:dyDescent="0.25">
      <c r="A507" s="2" t="s">
        <v>512</v>
      </c>
      <c r="B507" s="2" t="s">
        <v>683</v>
      </c>
      <c r="C507" s="2" t="s">
        <v>694</v>
      </c>
      <c r="D507" s="2" t="s">
        <v>755</v>
      </c>
      <c r="E507" s="2">
        <v>18</v>
      </c>
      <c r="F507" s="2" t="str" cm="1">
        <f t="array" ref="F507">_xlfn.IFS(Table1[[#This Row],[Age]]&lt;=16,"15-16",Table1[[#This Row],[Age]]&lt;19,"17-18")</f>
        <v>17-18</v>
      </c>
      <c r="G507" s="2" t="s">
        <v>758</v>
      </c>
      <c r="H507" s="3">
        <v>0.2</v>
      </c>
      <c r="I507" s="3">
        <v>0.2</v>
      </c>
      <c r="J507" s="3" t="str" cm="1">
        <f t="array" ref="J507">_xlfn.IFS(Table1[[#This Row],[Overall Attendance]]&gt;=0.6,"Good",Table1[[#This Row],[Overall Attendance]]&lt;0.6,"Bad")</f>
        <v>Bad</v>
      </c>
      <c r="K507" s="4">
        <v>41498</v>
      </c>
      <c r="L507" s="4">
        <f t="shared" si="14"/>
        <v>497976</v>
      </c>
      <c r="M507" s="4" t="str" cm="1">
        <f t="array" ref="M50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07" s="2">
        <v>11.1</v>
      </c>
      <c r="O507" s="2" t="str" cm="1">
        <f t="array" ref="O507">_xlfn.IFS(Table1[[#This Row],[Distance to School (km)]]&gt;=5,"Far",Table1[[#This Row],[Distance to School (km)]]&lt;5,"Near")</f>
        <v>Far</v>
      </c>
      <c r="P507" s="5">
        <f t="shared" si="15"/>
        <v>0.8</v>
      </c>
    </row>
    <row r="508" spans="1:16" ht="15" hidden="1" x14ac:dyDescent="0.25">
      <c r="A508" s="2" t="s">
        <v>513</v>
      </c>
      <c r="B508" s="2" t="s">
        <v>657</v>
      </c>
      <c r="C508" s="2" t="s">
        <v>693</v>
      </c>
      <c r="D508" s="2" t="s">
        <v>746</v>
      </c>
      <c r="E508" s="2">
        <v>15</v>
      </c>
      <c r="F508" s="2" t="str" cm="1">
        <f t="array" ref="F508">_xlfn.IFS(Table1[[#This Row],[Age]]&lt;=16,"15-16",Table1[[#This Row],[Age]]&lt;19,"17-18")</f>
        <v>15-16</v>
      </c>
      <c r="G508" s="2" t="s">
        <v>758</v>
      </c>
      <c r="H508" s="3">
        <v>0.34</v>
      </c>
      <c r="I508" s="3">
        <v>0.21</v>
      </c>
      <c r="J508" s="3" t="str" cm="1">
        <f t="array" ref="J508">_xlfn.IFS(Table1[[#This Row],[Overall Attendance]]&gt;=0.6,"Good",Table1[[#This Row],[Overall Attendance]]&lt;0.6,"Bad")</f>
        <v>Bad</v>
      </c>
      <c r="K508" s="4">
        <v>138560</v>
      </c>
      <c r="L508" s="4">
        <f t="shared" si="14"/>
        <v>1662720</v>
      </c>
      <c r="M508" s="4" t="str" cm="1">
        <f t="array" ref="M50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08" s="2">
        <v>10.9</v>
      </c>
      <c r="O508" s="2" t="str" cm="1">
        <f t="array" ref="O508">_xlfn.IFS(Table1[[#This Row],[Distance to School (km)]]&gt;=5,"Far",Table1[[#This Row],[Distance to School (km)]]&lt;5,"Near")</f>
        <v>Far</v>
      </c>
      <c r="P508" s="5">
        <f t="shared" si="15"/>
        <v>0.72499999999999998</v>
      </c>
    </row>
    <row r="509" spans="1:16" ht="15" x14ac:dyDescent="0.25">
      <c r="A509" s="2" t="s">
        <v>514</v>
      </c>
      <c r="B509" s="2" t="s">
        <v>669</v>
      </c>
      <c r="C509" s="2" t="s">
        <v>656</v>
      </c>
      <c r="D509" s="2" t="s">
        <v>749</v>
      </c>
      <c r="E509" s="2">
        <v>18</v>
      </c>
      <c r="F509" s="2" t="str" cm="1">
        <f t="array" ref="F509">_xlfn.IFS(Table1[[#This Row],[Age]]&lt;=16,"15-16",Table1[[#This Row],[Age]]&lt;19,"17-18")</f>
        <v>17-18</v>
      </c>
      <c r="G509" s="2" t="s">
        <v>757</v>
      </c>
      <c r="H509" s="3">
        <v>0.69499999999999995</v>
      </c>
      <c r="I509" s="3">
        <v>0.872</v>
      </c>
      <c r="J509" s="3" t="str" cm="1">
        <f t="array" ref="J509">_xlfn.IFS(Table1[[#This Row],[Overall Attendance]]&gt;=0.6,"Good",Table1[[#This Row],[Overall Attendance]]&lt;0.6,"Bad")</f>
        <v>Good</v>
      </c>
      <c r="K509" s="4">
        <v>384084</v>
      </c>
      <c r="L509" s="4">
        <f t="shared" si="14"/>
        <v>4609008</v>
      </c>
      <c r="M509" s="4" t="str" cm="1">
        <f t="array" ref="M50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09" s="2">
        <v>7.7</v>
      </c>
      <c r="O509" s="2" t="str" cm="1">
        <f t="array" ref="O509">_xlfn.IFS(Table1[[#This Row],[Distance to School (km)]]&gt;=5,"Far",Table1[[#This Row],[Distance to School (km)]]&lt;5,"Near")</f>
        <v>Far</v>
      </c>
      <c r="P509" s="5">
        <f t="shared" si="15"/>
        <v>0.21650000000000003</v>
      </c>
    </row>
    <row r="510" spans="1:16" ht="15" hidden="1" x14ac:dyDescent="0.25">
      <c r="A510" s="2" t="s">
        <v>515</v>
      </c>
      <c r="B510" s="2" t="s">
        <v>666</v>
      </c>
      <c r="C510" s="2" t="s">
        <v>691</v>
      </c>
      <c r="D510" s="2" t="s">
        <v>712</v>
      </c>
      <c r="E510" s="2">
        <v>16</v>
      </c>
      <c r="F510" s="2" t="str" cm="1">
        <f t="array" ref="F510">_xlfn.IFS(Table1[[#This Row],[Age]]&lt;=16,"15-16",Table1[[#This Row],[Age]]&lt;19,"17-18")</f>
        <v>15-16</v>
      </c>
      <c r="G510" s="2" t="s">
        <v>758</v>
      </c>
      <c r="H510" s="3">
        <v>0.45</v>
      </c>
      <c r="I510" s="3">
        <v>0.21</v>
      </c>
      <c r="J510" s="3" t="str" cm="1">
        <f t="array" ref="J510">_xlfn.IFS(Table1[[#This Row],[Overall Attendance]]&gt;=0.6,"Good",Table1[[#This Row],[Overall Attendance]]&lt;0.6,"Bad")</f>
        <v>Bad</v>
      </c>
      <c r="K510" s="4">
        <v>72801</v>
      </c>
      <c r="L510" s="4">
        <f t="shared" si="14"/>
        <v>873612</v>
      </c>
      <c r="M510" s="4" t="str" cm="1">
        <f t="array" ref="M51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10" s="2">
        <v>10.199999999999999</v>
      </c>
      <c r="O510" s="2" t="str" cm="1">
        <f t="array" ref="O510">_xlfn.IFS(Table1[[#This Row],[Distance to School (km)]]&gt;=5,"Far",Table1[[#This Row],[Distance to School (km)]]&lt;5,"Near")</f>
        <v>Far</v>
      </c>
      <c r="P510" s="5">
        <f t="shared" si="15"/>
        <v>0.66999999999999993</v>
      </c>
    </row>
    <row r="511" spans="1:16" ht="15" hidden="1" x14ac:dyDescent="0.25">
      <c r="A511" s="2" t="s">
        <v>516</v>
      </c>
      <c r="B511" s="2" t="s">
        <v>663</v>
      </c>
      <c r="C511" s="2" t="s">
        <v>716</v>
      </c>
      <c r="D511" s="2" t="s">
        <v>751</v>
      </c>
      <c r="E511" s="2">
        <v>16</v>
      </c>
      <c r="F511" s="2" t="str" cm="1">
        <f t="array" ref="F511">_xlfn.IFS(Table1[[#This Row],[Age]]&lt;=16,"15-16",Table1[[#This Row],[Age]]&lt;19,"17-18")</f>
        <v>15-16</v>
      </c>
      <c r="G511" s="2" t="s">
        <v>758</v>
      </c>
      <c r="H511" s="3">
        <v>0.65099999999999991</v>
      </c>
      <c r="I511" s="3">
        <v>0.84900000000000009</v>
      </c>
      <c r="J511" s="3" t="str" cm="1">
        <f t="array" ref="J511">_xlfn.IFS(Table1[[#This Row],[Overall Attendance]]&gt;=0.6,"Good",Table1[[#This Row],[Overall Attendance]]&lt;0.6,"Bad")</f>
        <v>Good</v>
      </c>
      <c r="K511" s="4">
        <v>327586</v>
      </c>
      <c r="L511" s="4">
        <f t="shared" si="14"/>
        <v>3931032</v>
      </c>
      <c r="M511" s="4" t="str" cm="1">
        <f t="array" ref="M51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11" s="2">
        <v>11.7</v>
      </c>
      <c r="O511" s="2" t="str" cm="1">
        <f t="array" ref="O511">_xlfn.IFS(Table1[[#This Row],[Distance to School (km)]]&gt;=5,"Far",Table1[[#This Row],[Distance to School (km)]]&lt;5,"Near")</f>
        <v>Far</v>
      </c>
      <c r="P511" s="5">
        <f t="shared" si="15"/>
        <v>0.25</v>
      </c>
    </row>
    <row r="512" spans="1:16" ht="15" x14ac:dyDescent="0.25">
      <c r="A512" s="2" t="s">
        <v>517</v>
      </c>
      <c r="B512" s="2" t="s">
        <v>677</v>
      </c>
      <c r="C512" s="2" t="s">
        <v>695</v>
      </c>
      <c r="D512" s="2" t="s">
        <v>750</v>
      </c>
      <c r="E512" s="2">
        <v>18</v>
      </c>
      <c r="F512" s="2" t="str" cm="1">
        <f t="array" ref="F512">_xlfn.IFS(Table1[[#This Row],[Age]]&lt;=16,"15-16",Table1[[#This Row],[Age]]&lt;19,"17-18")</f>
        <v>17-18</v>
      </c>
      <c r="G512" s="2" t="s">
        <v>757</v>
      </c>
      <c r="H512" s="3">
        <v>0.17</v>
      </c>
      <c r="I512" s="3">
        <v>0.12</v>
      </c>
      <c r="J512" s="3" t="str" cm="1">
        <f t="array" ref="J512">_xlfn.IFS(Table1[[#This Row],[Overall Attendance]]&gt;=0.6,"Good",Table1[[#This Row],[Overall Attendance]]&lt;0.6,"Bad")</f>
        <v>Bad</v>
      </c>
      <c r="K512" s="4">
        <v>89612</v>
      </c>
      <c r="L512" s="4">
        <f t="shared" si="14"/>
        <v>1075344</v>
      </c>
      <c r="M512" s="4" t="str" cm="1">
        <f t="array" ref="M51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12" s="2">
        <v>5.7</v>
      </c>
      <c r="O512" s="2" t="str" cm="1">
        <f t="array" ref="O512">_xlfn.IFS(Table1[[#This Row],[Distance to School (km)]]&gt;=5,"Far",Table1[[#This Row],[Distance to School (km)]]&lt;5,"Near")</f>
        <v>Far</v>
      </c>
      <c r="P512" s="5">
        <f t="shared" si="15"/>
        <v>0.85499999999999998</v>
      </c>
    </row>
    <row r="513" spans="1:16" ht="15" x14ac:dyDescent="0.25">
      <c r="A513" s="2" t="s">
        <v>518</v>
      </c>
      <c r="B513" s="2" t="s">
        <v>646</v>
      </c>
      <c r="C513" s="2" t="s">
        <v>691</v>
      </c>
      <c r="D513" s="2" t="s">
        <v>736</v>
      </c>
      <c r="E513" s="2">
        <v>17</v>
      </c>
      <c r="F513" s="2" t="str" cm="1">
        <f t="array" ref="F513">_xlfn.IFS(Table1[[#This Row],[Age]]&lt;=16,"15-16",Table1[[#This Row],[Age]]&lt;19,"17-18")</f>
        <v>17-18</v>
      </c>
      <c r="G513" s="2" t="s">
        <v>758</v>
      </c>
      <c r="H513" s="3">
        <v>0.34</v>
      </c>
      <c r="I513" s="3">
        <v>0.17</v>
      </c>
      <c r="J513" s="3" t="str" cm="1">
        <f t="array" ref="J513">_xlfn.IFS(Table1[[#This Row],[Overall Attendance]]&gt;=0.6,"Good",Table1[[#This Row],[Overall Attendance]]&lt;0.6,"Bad")</f>
        <v>Bad</v>
      </c>
      <c r="K513" s="4">
        <v>195803</v>
      </c>
      <c r="L513" s="4">
        <f t="shared" si="14"/>
        <v>2349636</v>
      </c>
      <c r="M513" s="4" t="str" cm="1">
        <f t="array" ref="M51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13" s="2">
        <v>5.2</v>
      </c>
      <c r="O513" s="2" t="str" cm="1">
        <f t="array" ref="O513">_xlfn.IFS(Table1[[#This Row],[Distance to School (km)]]&gt;=5,"Far",Table1[[#This Row],[Distance to School (km)]]&lt;5,"Near")</f>
        <v>Far</v>
      </c>
      <c r="P513" s="5">
        <f t="shared" si="15"/>
        <v>0.745</v>
      </c>
    </row>
    <row r="514" spans="1:16" ht="15" hidden="1" x14ac:dyDescent="0.25">
      <c r="A514" s="2" t="s">
        <v>519</v>
      </c>
      <c r="B514" s="2" t="s">
        <v>675</v>
      </c>
      <c r="C514" s="2" t="s">
        <v>702</v>
      </c>
      <c r="D514" s="2" t="s">
        <v>753</v>
      </c>
      <c r="E514" s="2">
        <v>15</v>
      </c>
      <c r="F514" s="2" t="str" cm="1">
        <f t="array" ref="F514">_xlfn.IFS(Table1[[#This Row],[Age]]&lt;=16,"15-16",Table1[[#This Row],[Age]]&lt;19,"17-18")</f>
        <v>15-16</v>
      </c>
      <c r="G514" s="2" t="s">
        <v>757</v>
      </c>
      <c r="H514" s="3">
        <v>0.60399999999999998</v>
      </c>
      <c r="I514" s="3">
        <v>0.77300000000000002</v>
      </c>
      <c r="J514" s="3" t="str" cm="1">
        <f t="array" ref="J514">_xlfn.IFS(Table1[[#This Row],[Overall Attendance]]&gt;=0.6,"Good",Table1[[#This Row],[Overall Attendance]]&lt;0.6,"Bad")</f>
        <v>Good</v>
      </c>
      <c r="K514" s="4">
        <v>110495</v>
      </c>
      <c r="L514" s="4">
        <f t="shared" si="14"/>
        <v>1325940</v>
      </c>
      <c r="M514" s="4" t="str" cm="1">
        <f t="array" ref="M51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14" s="2">
        <v>5.8</v>
      </c>
      <c r="O514" s="2" t="str" cm="1">
        <f t="array" ref="O514">_xlfn.IFS(Table1[[#This Row],[Distance to School (km)]]&gt;=5,"Far",Table1[[#This Row],[Distance to School (km)]]&lt;5,"Near")</f>
        <v>Far</v>
      </c>
      <c r="P514" s="5">
        <f t="shared" si="15"/>
        <v>0.3115</v>
      </c>
    </row>
    <row r="515" spans="1:16" ht="15" x14ac:dyDescent="0.25">
      <c r="A515" s="2" t="s">
        <v>520</v>
      </c>
      <c r="B515" s="2" t="s">
        <v>681</v>
      </c>
      <c r="C515" s="2" t="s">
        <v>686</v>
      </c>
      <c r="D515" s="2" t="s">
        <v>641</v>
      </c>
      <c r="E515" s="2">
        <v>17</v>
      </c>
      <c r="F515" s="2" t="str" cm="1">
        <f t="array" ref="F515">_xlfn.IFS(Table1[[#This Row],[Age]]&lt;=16,"15-16",Table1[[#This Row],[Age]]&lt;19,"17-18")</f>
        <v>17-18</v>
      </c>
      <c r="G515" s="2" t="s">
        <v>757</v>
      </c>
      <c r="H515" s="3">
        <v>0.60399999999999998</v>
      </c>
      <c r="I515" s="3">
        <v>0.56600000000000006</v>
      </c>
      <c r="J515" s="3" t="str" cm="1">
        <f t="array" ref="J515">_xlfn.IFS(Table1[[#This Row],[Overall Attendance]]&gt;=0.6,"Good",Table1[[#This Row],[Overall Attendance]]&lt;0.6,"Bad")</f>
        <v>Bad</v>
      </c>
      <c r="K515" s="4">
        <v>183059</v>
      </c>
      <c r="L515" s="4">
        <f t="shared" ref="L515:L578" si="16">K515*12</f>
        <v>2196708</v>
      </c>
      <c r="M515" s="4" t="str" cm="1">
        <f t="array" ref="M51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15" s="2">
        <v>7.5</v>
      </c>
      <c r="O515" s="2" t="str" cm="1">
        <f t="array" ref="O515">_xlfn.IFS(Table1[[#This Row],[Distance to School (km)]]&gt;=5,"Far",Table1[[#This Row],[Distance to School (km)]]&lt;5,"Near")</f>
        <v>Far</v>
      </c>
      <c r="P515" s="5">
        <f t="shared" ref="P515:P578" si="17">100%-AVERAGE(H515:I515)</f>
        <v>0.41500000000000004</v>
      </c>
    </row>
    <row r="516" spans="1:16" ht="15" x14ac:dyDescent="0.25">
      <c r="A516" s="2" t="s">
        <v>521</v>
      </c>
      <c r="B516" s="2" t="s">
        <v>664</v>
      </c>
      <c r="C516" s="2" t="s">
        <v>646</v>
      </c>
      <c r="D516" s="2" t="s">
        <v>756</v>
      </c>
      <c r="E516" s="2">
        <v>17</v>
      </c>
      <c r="F516" s="2" t="str" cm="1">
        <f t="array" ref="F516">_xlfn.IFS(Table1[[#This Row],[Age]]&lt;=16,"15-16",Table1[[#This Row],[Age]]&lt;19,"17-18")</f>
        <v>17-18</v>
      </c>
      <c r="G516" s="2" t="s">
        <v>757</v>
      </c>
      <c r="H516" s="3">
        <v>0.75</v>
      </c>
      <c r="I516" s="3">
        <v>0.747</v>
      </c>
      <c r="J516" s="3" t="str" cm="1">
        <f t="array" ref="J516">_xlfn.IFS(Table1[[#This Row],[Overall Attendance]]&gt;=0.6,"Good",Table1[[#This Row],[Overall Attendance]]&lt;0.6,"Bad")</f>
        <v>Good</v>
      </c>
      <c r="K516" s="4">
        <v>146258</v>
      </c>
      <c r="L516" s="4">
        <f t="shared" si="16"/>
        <v>1755096</v>
      </c>
      <c r="M516" s="4" t="str" cm="1">
        <f t="array" ref="M51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16" s="2">
        <v>2.4</v>
      </c>
      <c r="O516" s="2" t="str" cm="1">
        <f t="array" ref="O516">_xlfn.IFS(Table1[[#This Row],[Distance to School (km)]]&gt;=5,"Far",Table1[[#This Row],[Distance to School (km)]]&lt;5,"Near")</f>
        <v>Near</v>
      </c>
      <c r="P516" s="5">
        <f t="shared" si="17"/>
        <v>0.25150000000000006</v>
      </c>
    </row>
    <row r="517" spans="1:16" ht="15" hidden="1" x14ac:dyDescent="0.25">
      <c r="A517" s="2" t="s">
        <v>522</v>
      </c>
      <c r="B517" s="2" t="s">
        <v>653</v>
      </c>
      <c r="C517" s="2" t="s">
        <v>709</v>
      </c>
      <c r="D517" s="2" t="s">
        <v>753</v>
      </c>
      <c r="E517" s="2">
        <v>15</v>
      </c>
      <c r="F517" s="2" t="str" cm="1">
        <f t="array" ref="F517">_xlfn.IFS(Table1[[#This Row],[Age]]&lt;=16,"15-16",Table1[[#This Row],[Age]]&lt;19,"17-18")</f>
        <v>15-16</v>
      </c>
      <c r="G517" s="2" t="s">
        <v>758</v>
      </c>
      <c r="H517" s="3">
        <v>0.48200000000000004</v>
      </c>
      <c r="I517" s="3">
        <v>0.75900000000000001</v>
      </c>
      <c r="J517" s="3" t="str" cm="1">
        <f t="array" ref="J517">_xlfn.IFS(Table1[[#This Row],[Overall Attendance]]&gt;=0.6,"Good",Table1[[#This Row],[Overall Attendance]]&lt;0.6,"Bad")</f>
        <v>Good</v>
      </c>
      <c r="K517" s="4">
        <v>41506</v>
      </c>
      <c r="L517" s="4">
        <f t="shared" si="16"/>
        <v>498072</v>
      </c>
      <c r="M517" s="4" t="str" cm="1">
        <f t="array" ref="M51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17" s="2">
        <v>3.8</v>
      </c>
      <c r="O517" s="2" t="str" cm="1">
        <f t="array" ref="O517">_xlfn.IFS(Table1[[#This Row],[Distance to School (km)]]&gt;=5,"Far",Table1[[#This Row],[Distance to School (km)]]&lt;5,"Near")</f>
        <v>Near</v>
      </c>
      <c r="P517" s="5">
        <f t="shared" si="17"/>
        <v>0.37949999999999995</v>
      </c>
    </row>
    <row r="518" spans="1:16" ht="15" hidden="1" x14ac:dyDescent="0.25">
      <c r="A518" s="2" t="s">
        <v>523</v>
      </c>
      <c r="B518" s="2" t="s">
        <v>679</v>
      </c>
      <c r="C518" s="2" t="s">
        <v>730</v>
      </c>
      <c r="D518" s="2" t="s">
        <v>741</v>
      </c>
      <c r="E518" s="2">
        <v>16</v>
      </c>
      <c r="F518" s="2" t="str" cm="1">
        <f t="array" ref="F518">_xlfn.IFS(Table1[[#This Row],[Age]]&lt;=16,"15-16",Table1[[#This Row],[Age]]&lt;19,"17-18")</f>
        <v>15-16</v>
      </c>
      <c r="G518" s="2" t="s">
        <v>757</v>
      </c>
      <c r="H518" s="3">
        <v>0.23</v>
      </c>
      <c r="I518" s="3">
        <v>0.19</v>
      </c>
      <c r="J518" s="3" t="str" cm="1">
        <f t="array" ref="J518">_xlfn.IFS(Table1[[#This Row],[Overall Attendance]]&gt;=0.6,"Good",Table1[[#This Row],[Overall Attendance]]&lt;0.6,"Bad")</f>
        <v>Bad</v>
      </c>
      <c r="K518" s="4">
        <v>29018</v>
      </c>
      <c r="L518" s="4">
        <f t="shared" si="16"/>
        <v>348216</v>
      </c>
      <c r="M518" s="4" t="str" cm="1">
        <f t="array" ref="M51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18" s="2">
        <v>7.4</v>
      </c>
      <c r="O518" s="2" t="str" cm="1">
        <f t="array" ref="O518">_xlfn.IFS(Table1[[#This Row],[Distance to School (km)]]&gt;=5,"Far",Table1[[#This Row],[Distance to School (km)]]&lt;5,"Near")</f>
        <v>Far</v>
      </c>
      <c r="P518" s="5">
        <f t="shared" si="17"/>
        <v>0.79</v>
      </c>
    </row>
    <row r="519" spans="1:16" ht="15" hidden="1" x14ac:dyDescent="0.25">
      <c r="A519" s="2" t="s">
        <v>524</v>
      </c>
      <c r="B519" s="2" t="s">
        <v>684</v>
      </c>
      <c r="C519" s="2" t="s">
        <v>726</v>
      </c>
      <c r="D519" s="2" t="s">
        <v>741</v>
      </c>
      <c r="E519" s="2">
        <v>16</v>
      </c>
      <c r="F519" s="2" t="str" cm="1">
        <f t="array" ref="F519">_xlfn.IFS(Table1[[#This Row],[Age]]&lt;=16,"15-16",Table1[[#This Row],[Age]]&lt;19,"17-18")</f>
        <v>15-16</v>
      </c>
      <c r="G519" s="2" t="s">
        <v>758</v>
      </c>
      <c r="H519" s="3">
        <v>0.24</v>
      </c>
      <c r="I519" s="3">
        <v>0.12</v>
      </c>
      <c r="J519" s="3" t="str" cm="1">
        <f t="array" ref="J519">_xlfn.IFS(Table1[[#This Row],[Overall Attendance]]&gt;=0.6,"Good",Table1[[#This Row],[Overall Attendance]]&lt;0.6,"Bad")</f>
        <v>Bad</v>
      </c>
      <c r="K519" s="4">
        <v>25924</v>
      </c>
      <c r="L519" s="4">
        <f t="shared" si="16"/>
        <v>311088</v>
      </c>
      <c r="M519" s="4" t="str" cm="1">
        <f t="array" ref="M51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19" s="2">
        <v>11.6</v>
      </c>
      <c r="O519" s="2" t="str" cm="1">
        <f t="array" ref="O519">_xlfn.IFS(Table1[[#This Row],[Distance to School (km)]]&gt;=5,"Far",Table1[[#This Row],[Distance to School (km)]]&lt;5,"Near")</f>
        <v>Far</v>
      </c>
      <c r="P519" s="5">
        <f t="shared" si="17"/>
        <v>0.82000000000000006</v>
      </c>
    </row>
    <row r="520" spans="1:16" ht="15" x14ac:dyDescent="0.25">
      <c r="A520" s="2" t="s">
        <v>525</v>
      </c>
      <c r="B520" s="2" t="s">
        <v>654</v>
      </c>
      <c r="C520" s="2" t="s">
        <v>714</v>
      </c>
      <c r="D520" s="2" t="s">
        <v>739</v>
      </c>
      <c r="E520" s="2">
        <v>17</v>
      </c>
      <c r="F520" s="2" t="str" cm="1">
        <f t="array" ref="F520">_xlfn.IFS(Table1[[#This Row],[Age]]&lt;=16,"15-16",Table1[[#This Row],[Age]]&lt;19,"17-18")</f>
        <v>17-18</v>
      </c>
      <c r="G520" s="2" t="s">
        <v>758</v>
      </c>
      <c r="H520" s="3">
        <v>0.34</v>
      </c>
      <c r="I520" s="3">
        <v>0.12</v>
      </c>
      <c r="J520" s="3" t="str" cm="1">
        <f t="array" ref="J520">_xlfn.IFS(Table1[[#This Row],[Overall Attendance]]&gt;=0.6,"Good",Table1[[#This Row],[Overall Attendance]]&lt;0.6,"Bad")</f>
        <v>Bad</v>
      </c>
      <c r="K520" s="4">
        <v>121927</v>
      </c>
      <c r="L520" s="4">
        <f t="shared" si="16"/>
        <v>1463124</v>
      </c>
      <c r="M520" s="4" t="str" cm="1">
        <f t="array" ref="M52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20" s="2">
        <v>1.1000000000000001</v>
      </c>
      <c r="O520" s="2" t="str" cm="1">
        <f t="array" ref="O520">_xlfn.IFS(Table1[[#This Row],[Distance to School (km)]]&gt;=5,"Far",Table1[[#This Row],[Distance to School (km)]]&lt;5,"Near")</f>
        <v>Near</v>
      </c>
      <c r="P520" s="5">
        <f t="shared" si="17"/>
        <v>0.77</v>
      </c>
    </row>
    <row r="521" spans="1:16" ht="15" x14ac:dyDescent="0.25">
      <c r="A521" s="2" t="s">
        <v>526</v>
      </c>
      <c r="B521" s="2" t="s">
        <v>643</v>
      </c>
      <c r="C521" s="2" t="s">
        <v>702</v>
      </c>
      <c r="D521" s="2" t="s">
        <v>744</v>
      </c>
      <c r="E521" s="2">
        <v>18</v>
      </c>
      <c r="F521" s="2" t="str" cm="1">
        <f t="array" ref="F521">_xlfn.IFS(Table1[[#This Row],[Age]]&lt;=16,"15-16",Table1[[#This Row],[Age]]&lt;19,"17-18")</f>
        <v>17-18</v>
      </c>
      <c r="G521" s="2" t="s">
        <v>757</v>
      </c>
      <c r="H521" s="3">
        <v>0.45</v>
      </c>
      <c r="I521" s="3">
        <v>0.54</v>
      </c>
      <c r="J521" s="3" t="str" cm="1">
        <f t="array" ref="J521">_xlfn.IFS(Table1[[#This Row],[Overall Attendance]]&gt;=0.6,"Good",Table1[[#This Row],[Overall Attendance]]&lt;0.6,"Bad")</f>
        <v>Bad</v>
      </c>
      <c r="K521" s="4">
        <v>261253</v>
      </c>
      <c r="L521" s="4">
        <f t="shared" si="16"/>
        <v>3135036</v>
      </c>
      <c r="M521" s="4" t="str" cm="1">
        <f t="array" ref="M52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21" s="2">
        <v>8.4</v>
      </c>
      <c r="O521" s="2" t="str" cm="1">
        <f t="array" ref="O521">_xlfn.IFS(Table1[[#This Row],[Distance to School (km)]]&gt;=5,"Far",Table1[[#This Row],[Distance to School (km)]]&lt;5,"Near")</f>
        <v>Far</v>
      </c>
      <c r="P521" s="5">
        <f t="shared" si="17"/>
        <v>0.505</v>
      </c>
    </row>
    <row r="522" spans="1:16" ht="15" hidden="1" x14ac:dyDescent="0.25">
      <c r="A522" s="2" t="s">
        <v>527</v>
      </c>
      <c r="B522" s="2" t="s">
        <v>662</v>
      </c>
      <c r="C522" s="2" t="s">
        <v>704</v>
      </c>
      <c r="D522" s="2" t="s">
        <v>756</v>
      </c>
      <c r="E522" s="2">
        <v>15</v>
      </c>
      <c r="F522" s="2" t="str" cm="1">
        <f t="array" ref="F522">_xlfn.IFS(Table1[[#This Row],[Age]]&lt;=16,"15-16",Table1[[#This Row],[Age]]&lt;19,"17-18")</f>
        <v>15-16</v>
      </c>
      <c r="G522" s="2" t="s">
        <v>758</v>
      </c>
      <c r="H522" s="3">
        <v>0.47</v>
      </c>
      <c r="I522" s="3">
        <v>0.1</v>
      </c>
      <c r="J522" s="3" t="str" cm="1">
        <f t="array" ref="J522">_xlfn.IFS(Table1[[#This Row],[Overall Attendance]]&gt;=0.6,"Good",Table1[[#This Row],[Overall Attendance]]&lt;0.6,"Bad")</f>
        <v>Bad</v>
      </c>
      <c r="K522" s="4">
        <v>50071</v>
      </c>
      <c r="L522" s="4">
        <f t="shared" si="16"/>
        <v>600852</v>
      </c>
      <c r="M522" s="4" t="str" cm="1">
        <f t="array" ref="M52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22" s="2">
        <v>11.6</v>
      </c>
      <c r="O522" s="2" t="str" cm="1">
        <f t="array" ref="O522">_xlfn.IFS(Table1[[#This Row],[Distance to School (km)]]&gt;=5,"Far",Table1[[#This Row],[Distance to School (km)]]&lt;5,"Near")</f>
        <v>Far</v>
      </c>
      <c r="P522" s="5">
        <f t="shared" si="17"/>
        <v>0.71500000000000008</v>
      </c>
    </row>
    <row r="523" spans="1:16" ht="15" hidden="1" x14ac:dyDescent="0.25">
      <c r="A523" s="2" t="s">
        <v>528</v>
      </c>
      <c r="B523" s="2" t="s">
        <v>656</v>
      </c>
      <c r="C523" s="2" t="s">
        <v>733</v>
      </c>
      <c r="D523" s="2" t="s">
        <v>641</v>
      </c>
      <c r="E523" s="2">
        <v>15</v>
      </c>
      <c r="F523" s="2" t="str" cm="1">
        <f t="array" ref="F523">_xlfn.IFS(Table1[[#This Row],[Age]]&lt;=16,"15-16",Table1[[#This Row],[Age]]&lt;19,"17-18")</f>
        <v>15-16</v>
      </c>
      <c r="G523" s="2" t="s">
        <v>757</v>
      </c>
      <c r="H523" s="3">
        <v>0.48</v>
      </c>
      <c r="I523" s="3">
        <v>0.97299999999999998</v>
      </c>
      <c r="J523" s="3" t="str" cm="1">
        <f t="array" ref="J523">_xlfn.IFS(Table1[[#This Row],[Overall Attendance]]&gt;=0.6,"Good",Table1[[#This Row],[Overall Attendance]]&lt;0.6,"Bad")</f>
        <v>Good</v>
      </c>
      <c r="K523" s="4">
        <v>135729</v>
      </c>
      <c r="L523" s="4">
        <f t="shared" si="16"/>
        <v>1628748</v>
      </c>
      <c r="M523" s="4" t="str" cm="1">
        <f t="array" ref="M52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23" s="2">
        <v>3.6</v>
      </c>
      <c r="O523" s="2" t="str" cm="1">
        <f t="array" ref="O523">_xlfn.IFS(Table1[[#This Row],[Distance to School (km)]]&gt;=5,"Far",Table1[[#This Row],[Distance to School (km)]]&lt;5,"Near")</f>
        <v>Near</v>
      </c>
      <c r="P523" s="5">
        <f t="shared" si="17"/>
        <v>0.27350000000000008</v>
      </c>
    </row>
    <row r="524" spans="1:16" ht="15" hidden="1" x14ac:dyDescent="0.25">
      <c r="A524" s="2" t="s">
        <v>529</v>
      </c>
      <c r="B524" s="2" t="s">
        <v>657</v>
      </c>
      <c r="C524" s="2" t="s">
        <v>712</v>
      </c>
      <c r="D524" s="2" t="s">
        <v>755</v>
      </c>
      <c r="E524" s="2">
        <v>16</v>
      </c>
      <c r="F524" s="2" t="str" cm="1">
        <f t="array" ref="F524">_xlfn.IFS(Table1[[#This Row],[Age]]&lt;=16,"15-16",Table1[[#This Row],[Age]]&lt;19,"17-18")</f>
        <v>15-16</v>
      </c>
      <c r="G524" s="2" t="s">
        <v>758</v>
      </c>
      <c r="H524" s="3">
        <v>0.23</v>
      </c>
      <c r="I524" s="3">
        <v>0.13</v>
      </c>
      <c r="J524" s="3" t="str" cm="1">
        <f t="array" ref="J524">_xlfn.IFS(Table1[[#This Row],[Overall Attendance]]&gt;=0.6,"Good",Table1[[#This Row],[Overall Attendance]]&lt;0.6,"Bad")</f>
        <v>Bad</v>
      </c>
      <c r="K524" s="4">
        <v>98124</v>
      </c>
      <c r="L524" s="4">
        <f t="shared" si="16"/>
        <v>1177488</v>
      </c>
      <c r="M524" s="4" t="str" cm="1">
        <f t="array" ref="M52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24" s="2">
        <v>6.5</v>
      </c>
      <c r="O524" s="2" t="str" cm="1">
        <f t="array" ref="O524">_xlfn.IFS(Table1[[#This Row],[Distance to School (km)]]&gt;=5,"Far",Table1[[#This Row],[Distance to School (km)]]&lt;5,"Near")</f>
        <v>Far</v>
      </c>
      <c r="P524" s="5">
        <f t="shared" si="17"/>
        <v>0.82000000000000006</v>
      </c>
    </row>
    <row r="525" spans="1:16" ht="15" x14ac:dyDescent="0.25">
      <c r="A525" s="2" t="s">
        <v>530</v>
      </c>
      <c r="B525" s="2" t="s">
        <v>650</v>
      </c>
      <c r="C525" s="2" t="s">
        <v>694</v>
      </c>
      <c r="D525" s="2" t="s">
        <v>668</v>
      </c>
      <c r="E525" s="2">
        <v>17</v>
      </c>
      <c r="F525" s="2" t="str" cm="1">
        <f t="array" ref="F525">_xlfn.IFS(Table1[[#This Row],[Age]]&lt;=16,"15-16",Table1[[#This Row],[Age]]&lt;19,"17-18")</f>
        <v>17-18</v>
      </c>
      <c r="G525" s="2" t="s">
        <v>758</v>
      </c>
      <c r="H525" s="3">
        <v>0.13</v>
      </c>
      <c r="I525" s="3">
        <v>0.35</v>
      </c>
      <c r="J525" s="3" t="str" cm="1">
        <f t="array" ref="J525">_xlfn.IFS(Table1[[#This Row],[Overall Attendance]]&gt;=0.6,"Good",Table1[[#This Row],[Overall Attendance]]&lt;0.6,"Bad")</f>
        <v>Bad</v>
      </c>
      <c r="K525" s="4">
        <v>227239</v>
      </c>
      <c r="L525" s="4">
        <f t="shared" si="16"/>
        <v>2726868</v>
      </c>
      <c r="M525" s="4" t="str" cm="1">
        <f t="array" ref="M52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25" s="2">
        <v>4.5</v>
      </c>
      <c r="O525" s="2" t="str" cm="1">
        <f t="array" ref="O525">_xlfn.IFS(Table1[[#This Row],[Distance to School (km)]]&gt;=5,"Far",Table1[[#This Row],[Distance to School (km)]]&lt;5,"Near")</f>
        <v>Near</v>
      </c>
      <c r="P525" s="5">
        <f t="shared" si="17"/>
        <v>0.76</v>
      </c>
    </row>
    <row r="526" spans="1:16" ht="15" hidden="1" x14ac:dyDescent="0.25">
      <c r="A526" s="2" t="s">
        <v>531</v>
      </c>
      <c r="B526" s="2" t="s">
        <v>644</v>
      </c>
      <c r="C526" s="2" t="s">
        <v>724</v>
      </c>
      <c r="D526" s="2" t="s">
        <v>746</v>
      </c>
      <c r="E526" s="2">
        <v>15</v>
      </c>
      <c r="F526" s="2" t="str" cm="1">
        <f t="array" ref="F526">_xlfn.IFS(Table1[[#This Row],[Age]]&lt;=16,"15-16",Table1[[#This Row],[Age]]&lt;19,"17-18")</f>
        <v>15-16</v>
      </c>
      <c r="G526" s="2" t="s">
        <v>758</v>
      </c>
      <c r="H526" s="3">
        <v>0.59</v>
      </c>
      <c r="I526" s="3">
        <v>0.79700000000000004</v>
      </c>
      <c r="J526" s="3" t="str" cm="1">
        <f t="array" ref="J526">_xlfn.IFS(Table1[[#This Row],[Overall Attendance]]&gt;=0.6,"Good",Table1[[#This Row],[Overall Attendance]]&lt;0.6,"Bad")</f>
        <v>Good</v>
      </c>
      <c r="K526" s="4">
        <v>39468</v>
      </c>
      <c r="L526" s="4">
        <f t="shared" si="16"/>
        <v>473616</v>
      </c>
      <c r="M526" s="4" t="str" cm="1">
        <f t="array" ref="M52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26" s="2">
        <v>8.6</v>
      </c>
      <c r="O526" s="2" t="str" cm="1">
        <f t="array" ref="O526">_xlfn.IFS(Table1[[#This Row],[Distance to School (km)]]&gt;=5,"Far",Table1[[#This Row],[Distance to School (km)]]&lt;5,"Near")</f>
        <v>Far</v>
      </c>
      <c r="P526" s="5">
        <f t="shared" si="17"/>
        <v>0.30649999999999999</v>
      </c>
    </row>
    <row r="527" spans="1:16" ht="15" x14ac:dyDescent="0.25">
      <c r="A527" s="2" t="s">
        <v>532</v>
      </c>
      <c r="B527" s="2" t="s">
        <v>658</v>
      </c>
      <c r="C527" s="2" t="s">
        <v>715</v>
      </c>
      <c r="D527" s="2" t="s">
        <v>751</v>
      </c>
      <c r="E527" s="2">
        <v>18</v>
      </c>
      <c r="F527" s="2" t="str" cm="1">
        <f t="array" ref="F527">_xlfn.IFS(Table1[[#This Row],[Age]]&lt;=16,"15-16",Table1[[#This Row],[Age]]&lt;19,"17-18")</f>
        <v>17-18</v>
      </c>
      <c r="G527" s="2" t="s">
        <v>757</v>
      </c>
      <c r="H527" s="3">
        <v>0.47499999999999998</v>
      </c>
      <c r="I527" s="3">
        <v>0.93900000000000006</v>
      </c>
      <c r="J527" s="3" t="str" cm="1">
        <f t="array" ref="J527">_xlfn.IFS(Table1[[#This Row],[Overall Attendance]]&gt;=0.6,"Good",Table1[[#This Row],[Overall Attendance]]&lt;0.6,"Bad")</f>
        <v>Good</v>
      </c>
      <c r="K527" s="4">
        <v>87098</v>
      </c>
      <c r="L527" s="4">
        <f t="shared" si="16"/>
        <v>1045176</v>
      </c>
      <c r="M527" s="4" t="str" cm="1">
        <f t="array" ref="M52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27" s="2">
        <v>3.4</v>
      </c>
      <c r="O527" s="2" t="str" cm="1">
        <f t="array" ref="O527">_xlfn.IFS(Table1[[#This Row],[Distance to School (km)]]&gt;=5,"Far",Table1[[#This Row],[Distance to School (km)]]&lt;5,"Near")</f>
        <v>Near</v>
      </c>
      <c r="P527" s="5">
        <f t="shared" si="17"/>
        <v>0.29299999999999993</v>
      </c>
    </row>
    <row r="528" spans="1:16" ht="15" hidden="1" x14ac:dyDescent="0.25">
      <c r="A528" s="2" t="s">
        <v>533</v>
      </c>
      <c r="B528" s="2" t="s">
        <v>664</v>
      </c>
      <c r="C528" s="2" t="s">
        <v>700</v>
      </c>
      <c r="D528" s="2" t="s">
        <v>741</v>
      </c>
      <c r="E528" s="2">
        <v>15</v>
      </c>
      <c r="F528" s="2" t="str" cm="1">
        <f t="array" ref="F528">_xlfn.IFS(Table1[[#This Row],[Age]]&lt;=16,"15-16",Table1[[#This Row],[Age]]&lt;19,"17-18")</f>
        <v>15-16</v>
      </c>
      <c r="G528" s="2" t="s">
        <v>757</v>
      </c>
      <c r="H528" s="3">
        <v>0.64200000000000002</v>
      </c>
      <c r="I528" s="3">
        <v>0.66799999999999993</v>
      </c>
      <c r="J528" s="3" t="str" cm="1">
        <f t="array" ref="J528">_xlfn.IFS(Table1[[#This Row],[Overall Attendance]]&gt;=0.6,"Good",Table1[[#This Row],[Overall Attendance]]&lt;0.6,"Bad")</f>
        <v>Good</v>
      </c>
      <c r="K528" s="4">
        <v>41875</v>
      </c>
      <c r="L528" s="4">
        <f t="shared" si="16"/>
        <v>502500</v>
      </c>
      <c r="M528" s="4" t="str" cm="1">
        <f t="array" ref="M52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28" s="2">
        <v>3.7</v>
      </c>
      <c r="O528" s="2" t="str" cm="1">
        <f t="array" ref="O528">_xlfn.IFS(Table1[[#This Row],[Distance to School (km)]]&gt;=5,"Far",Table1[[#This Row],[Distance to School (km)]]&lt;5,"Near")</f>
        <v>Near</v>
      </c>
      <c r="P528" s="5">
        <f t="shared" si="17"/>
        <v>0.34499999999999997</v>
      </c>
    </row>
    <row r="529" spans="1:16" ht="15" hidden="1" x14ac:dyDescent="0.25">
      <c r="A529" s="2" t="s">
        <v>534</v>
      </c>
      <c r="B529" s="2" t="s">
        <v>682</v>
      </c>
      <c r="C529" s="2" t="s">
        <v>691</v>
      </c>
      <c r="D529" s="2" t="s">
        <v>745</v>
      </c>
      <c r="E529" s="2">
        <v>16</v>
      </c>
      <c r="F529" s="2" t="str" cm="1">
        <f t="array" ref="F529">_xlfn.IFS(Table1[[#This Row],[Age]]&lt;=16,"15-16",Table1[[#This Row],[Age]]&lt;19,"17-18")</f>
        <v>15-16</v>
      </c>
      <c r="G529" s="2" t="s">
        <v>758</v>
      </c>
      <c r="H529" s="3">
        <v>0.60899999999999999</v>
      </c>
      <c r="I529" s="3">
        <v>0.98</v>
      </c>
      <c r="J529" s="3" t="str" cm="1">
        <f t="array" ref="J529">_xlfn.IFS(Table1[[#This Row],[Overall Attendance]]&gt;=0.6,"Good",Table1[[#This Row],[Overall Attendance]]&lt;0.6,"Bad")</f>
        <v>Good</v>
      </c>
      <c r="K529" s="4">
        <v>78874</v>
      </c>
      <c r="L529" s="4">
        <f t="shared" si="16"/>
        <v>946488</v>
      </c>
      <c r="M529" s="4" t="str" cm="1">
        <f t="array" ref="M52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29" s="2">
        <v>7.5</v>
      </c>
      <c r="O529" s="2" t="str" cm="1">
        <f t="array" ref="O529">_xlfn.IFS(Table1[[#This Row],[Distance to School (km)]]&gt;=5,"Far",Table1[[#This Row],[Distance to School (km)]]&lt;5,"Near")</f>
        <v>Far</v>
      </c>
      <c r="P529" s="5">
        <f t="shared" si="17"/>
        <v>0.20550000000000002</v>
      </c>
    </row>
    <row r="530" spans="1:16" ht="15" hidden="1" x14ac:dyDescent="0.25">
      <c r="A530" s="2" t="s">
        <v>535</v>
      </c>
      <c r="B530" s="2" t="s">
        <v>662</v>
      </c>
      <c r="C530" s="2" t="s">
        <v>720</v>
      </c>
      <c r="D530" s="2" t="s">
        <v>712</v>
      </c>
      <c r="E530" s="2">
        <v>15</v>
      </c>
      <c r="F530" s="2" t="str" cm="1">
        <f t="array" ref="F530">_xlfn.IFS(Table1[[#This Row],[Age]]&lt;=16,"15-16",Table1[[#This Row],[Age]]&lt;19,"17-18")</f>
        <v>15-16</v>
      </c>
      <c r="G530" s="2" t="s">
        <v>758</v>
      </c>
      <c r="H530" s="3">
        <v>0.63</v>
      </c>
      <c r="I530" s="3">
        <v>0.75</v>
      </c>
      <c r="J530" s="3" t="str" cm="1">
        <f t="array" ref="J530">_xlfn.IFS(Table1[[#This Row],[Overall Attendance]]&gt;=0.6,"Good",Table1[[#This Row],[Overall Attendance]]&lt;0.6,"Bad")</f>
        <v>Good</v>
      </c>
      <c r="K530" s="4">
        <v>157879</v>
      </c>
      <c r="L530" s="4">
        <f t="shared" si="16"/>
        <v>1894548</v>
      </c>
      <c r="M530" s="4" t="str" cm="1">
        <f t="array" ref="M53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30" s="2">
        <v>1.7</v>
      </c>
      <c r="O530" s="2" t="str" cm="1">
        <f t="array" ref="O530">_xlfn.IFS(Table1[[#This Row],[Distance to School (km)]]&gt;=5,"Far",Table1[[#This Row],[Distance to School (km)]]&lt;5,"Near")</f>
        <v>Near</v>
      </c>
      <c r="P530" s="5">
        <f t="shared" si="17"/>
        <v>0.31000000000000005</v>
      </c>
    </row>
    <row r="531" spans="1:16" ht="15" x14ac:dyDescent="0.25">
      <c r="A531" s="2" t="s">
        <v>536</v>
      </c>
      <c r="B531" s="2" t="s">
        <v>665</v>
      </c>
      <c r="C531" s="2" t="s">
        <v>676</v>
      </c>
      <c r="D531" s="2" t="s">
        <v>739</v>
      </c>
      <c r="E531" s="2">
        <v>17</v>
      </c>
      <c r="F531" s="2" t="str" cm="1">
        <f t="array" ref="F531">_xlfn.IFS(Table1[[#This Row],[Age]]&lt;=16,"15-16",Table1[[#This Row],[Age]]&lt;19,"17-18")</f>
        <v>17-18</v>
      </c>
      <c r="G531" s="2" t="s">
        <v>757</v>
      </c>
      <c r="H531" s="3">
        <v>0.379</v>
      </c>
      <c r="I531" s="3">
        <v>0.8909999999999999</v>
      </c>
      <c r="J531" s="3" t="str" cm="1">
        <f t="array" ref="J531">_xlfn.IFS(Table1[[#This Row],[Overall Attendance]]&gt;=0.6,"Good",Table1[[#This Row],[Overall Attendance]]&lt;0.6,"Bad")</f>
        <v>Good</v>
      </c>
      <c r="K531" s="4">
        <v>24877</v>
      </c>
      <c r="L531" s="4">
        <f t="shared" si="16"/>
        <v>298524</v>
      </c>
      <c r="M531" s="4" t="str" cm="1">
        <f t="array" ref="M53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31" s="2">
        <v>8.1</v>
      </c>
      <c r="O531" s="2" t="str" cm="1">
        <f t="array" ref="O531">_xlfn.IFS(Table1[[#This Row],[Distance to School (km)]]&gt;=5,"Far",Table1[[#This Row],[Distance to School (km)]]&lt;5,"Near")</f>
        <v>Far</v>
      </c>
      <c r="P531" s="5">
        <f t="shared" si="17"/>
        <v>0.36499999999999999</v>
      </c>
    </row>
    <row r="532" spans="1:16" ht="15" hidden="1" x14ac:dyDescent="0.25">
      <c r="A532" s="2" t="s">
        <v>537</v>
      </c>
      <c r="B532" s="2" t="s">
        <v>682</v>
      </c>
      <c r="C532" s="2" t="s">
        <v>656</v>
      </c>
      <c r="D532" s="2" t="s">
        <v>755</v>
      </c>
      <c r="E532" s="2">
        <v>15</v>
      </c>
      <c r="F532" s="2" t="str" cm="1">
        <f t="array" ref="F532">_xlfn.IFS(Table1[[#This Row],[Age]]&lt;=16,"15-16",Table1[[#This Row],[Age]]&lt;19,"17-18")</f>
        <v>15-16</v>
      </c>
      <c r="G532" s="2" t="s">
        <v>757</v>
      </c>
      <c r="H532" s="3">
        <v>0.49099999999999999</v>
      </c>
      <c r="I532" s="3">
        <v>0.7659999999999999</v>
      </c>
      <c r="J532" s="3" t="str" cm="1">
        <f t="array" ref="J532">_xlfn.IFS(Table1[[#This Row],[Overall Attendance]]&gt;=0.6,"Good",Table1[[#This Row],[Overall Attendance]]&lt;0.6,"Bad")</f>
        <v>Good</v>
      </c>
      <c r="K532" s="4">
        <v>314310</v>
      </c>
      <c r="L532" s="4">
        <f t="shared" si="16"/>
        <v>3771720</v>
      </c>
      <c r="M532" s="4" t="str" cm="1">
        <f t="array" ref="M53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32" s="2">
        <v>10.199999999999999</v>
      </c>
      <c r="O532" s="2" t="str" cm="1">
        <f t="array" ref="O532">_xlfn.IFS(Table1[[#This Row],[Distance to School (km)]]&gt;=5,"Far",Table1[[#This Row],[Distance to School (km)]]&lt;5,"Near")</f>
        <v>Far</v>
      </c>
      <c r="P532" s="5">
        <f t="shared" si="17"/>
        <v>0.37150000000000005</v>
      </c>
    </row>
    <row r="533" spans="1:16" ht="15" hidden="1" x14ac:dyDescent="0.25">
      <c r="A533" s="2" t="s">
        <v>538</v>
      </c>
      <c r="B533" s="2" t="s">
        <v>647</v>
      </c>
      <c r="C533" s="2" t="s">
        <v>685</v>
      </c>
      <c r="D533" s="2" t="s">
        <v>646</v>
      </c>
      <c r="E533" s="2">
        <v>15</v>
      </c>
      <c r="F533" s="2" t="str" cm="1">
        <f t="array" ref="F533">_xlfn.IFS(Table1[[#This Row],[Age]]&lt;=16,"15-16",Table1[[#This Row],[Age]]&lt;19,"17-18")</f>
        <v>15-16</v>
      </c>
      <c r="G533" s="2" t="s">
        <v>757</v>
      </c>
      <c r="H533" s="3">
        <v>0.67700000000000005</v>
      </c>
      <c r="I533" s="3">
        <v>0.71599999999999997</v>
      </c>
      <c r="J533" s="3" t="str" cm="1">
        <f t="array" ref="J533">_xlfn.IFS(Table1[[#This Row],[Overall Attendance]]&gt;=0.6,"Good",Table1[[#This Row],[Overall Attendance]]&lt;0.6,"Bad")</f>
        <v>Good</v>
      </c>
      <c r="K533" s="4">
        <v>147045</v>
      </c>
      <c r="L533" s="4">
        <f t="shared" si="16"/>
        <v>1764540</v>
      </c>
      <c r="M533" s="4" t="str" cm="1">
        <f t="array" ref="M53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33" s="2">
        <v>5.0999999999999996</v>
      </c>
      <c r="O533" s="2" t="str" cm="1">
        <f t="array" ref="O533">_xlfn.IFS(Table1[[#This Row],[Distance to School (km)]]&gt;=5,"Far",Table1[[#This Row],[Distance to School (km)]]&lt;5,"Near")</f>
        <v>Far</v>
      </c>
      <c r="P533" s="5">
        <f t="shared" si="17"/>
        <v>0.30349999999999999</v>
      </c>
    </row>
    <row r="534" spans="1:16" ht="15" hidden="1" x14ac:dyDescent="0.25">
      <c r="A534" s="2" t="s">
        <v>539</v>
      </c>
      <c r="B534" s="2" t="s">
        <v>682</v>
      </c>
      <c r="C534" s="2" t="s">
        <v>694</v>
      </c>
      <c r="D534" s="2" t="s">
        <v>742</v>
      </c>
      <c r="E534" s="2">
        <v>16</v>
      </c>
      <c r="F534" s="2" t="str" cm="1">
        <f t="array" ref="F534">_xlfn.IFS(Table1[[#This Row],[Age]]&lt;=16,"15-16",Table1[[#This Row],[Age]]&lt;19,"17-18")</f>
        <v>15-16</v>
      </c>
      <c r="G534" s="2" t="s">
        <v>758</v>
      </c>
      <c r="H534" s="3">
        <v>0.73</v>
      </c>
      <c r="I534" s="3">
        <v>0.67799999999999994</v>
      </c>
      <c r="J534" s="3" t="str" cm="1">
        <f t="array" ref="J534">_xlfn.IFS(Table1[[#This Row],[Overall Attendance]]&gt;=0.6,"Good",Table1[[#This Row],[Overall Attendance]]&lt;0.6,"Bad")</f>
        <v>Good</v>
      </c>
      <c r="K534" s="4">
        <v>29501</v>
      </c>
      <c r="L534" s="4">
        <f t="shared" si="16"/>
        <v>354012</v>
      </c>
      <c r="M534" s="4" t="str" cm="1">
        <f t="array" ref="M53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34" s="2">
        <v>11.6</v>
      </c>
      <c r="O534" s="2" t="str" cm="1">
        <f t="array" ref="O534">_xlfn.IFS(Table1[[#This Row],[Distance to School (km)]]&gt;=5,"Far",Table1[[#This Row],[Distance to School (km)]]&lt;5,"Near")</f>
        <v>Far</v>
      </c>
      <c r="P534" s="5">
        <f t="shared" si="17"/>
        <v>0.29600000000000004</v>
      </c>
    </row>
    <row r="535" spans="1:16" ht="15" hidden="1" x14ac:dyDescent="0.25">
      <c r="A535" s="2" t="s">
        <v>540</v>
      </c>
      <c r="B535" s="2" t="s">
        <v>647</v>
      </c>
      <c r="C535" s="2" t="s">
        <v>713</v>
      </c>
      <c r="D535" s="2" t="s">
        <v>743</v>
      </c>
      <c r="E535" s="2">
        <v>16</v>
      </c>
      <c r="F535" s="2" t="str" cm="1">
        <f t="array" ref="F535">_xlfn.IFS(Table1[[#This Row],[Age]]&lt;=16,"15-16",Table1[[#This Row],[Age]]&lt;19,"17-18")</f>
        <v>15-16</v>
      </c>
      <c r="G535" s="2" t="s">
        <v>758</v>
      </c>
      <c r="H535" s="3">
        <v>0.54299999999999993</v>
      </c>
      <c r="I535" s="3">
        <v>0.75099999999999989</v>
      </c>
      <c r="J535" s="3" t="str" cm="1">
        <f t="array" ref="J535">_xlfn.IFS(Table1[[#This Row],[Overall Attendance]]&gt;=0.6,"Good",Table1[[#This Row],[Overall Attendance]]&lt;0.6,"Bad")</f>
        <v>Good</v>
      </c>
      <c r="K535" s="4">
        <v>91471</v>
      </c>
      <c r="L535" s="4">
        <f t="shared" si="16"/>
        <v>1097652</v>
      </c>
      <c r="M535" s="4" t="str" cm="1">
        <f t="array" ref="M53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35" s="2">
        <v>2.1</v>
      </c>
      <c r="O535" s="2" t="str" cm="1">
        <f t="array" ref="O535">_xlfn.IFS(Table1[[#This Row],[Distance to School (km)]]&gt;=5,"Far",Table1[[#This Row],[Distance to School (km)]]&lt;5,"Near")</f>
        <v>Near</v>
      </c>
      <c r="P535" s="5">
        <f t="shared" si="17"/>
        <v>0.35300000000000009</v>
      </c>
    </row>
    <row r="536" spans="1:16" ht="15" hidden="1" x14ac:dyDescent="0.25">
      <c r="A536" s="2" t="s">
        <v>541</v>
      </c>
      <c r="B536" s="2" t="s">
        <v>657</v>
      </c>
      <c r="C536" s="2" t="s">
        <v>652</v>
      </c>
      <c r="D536" s="2" t="s">
        <v>736</v>
      </c>
      <c r="E536" s="2">
        <v>15</v>
      </c>
      <c r="F536" s="2" t="str" cm="1">
        <f t="array" ref="F536">_xlfn.IFS(Table1[[#This Row],[Age]]&lt;=16,"15-16",Table1[[#This Row],[Age]]&lt;19,"17-18")</f>
        <v>15-16</v>
      </c>
      <c r="G536" s="2" t="s">
        <v>757</v>
      </c>
      <c r="H536" s="3">
        <v>0.57700000000000007</v>
      </c>
      <c r="I536" s="3">
        <v>0.82200000000000006</v>
      </c>
      <c r="J536" s="3" t="str" cm="1">
        <f t="array" ref="J536">_xlfn.IFS(Table1[[#This Row],[Overall Attendance]]&gt;=0.6,"Good",Table1[[#This Row],[Overall Attendance]]&lt;0.6,"Bad")</f>
        <v>Good</v>
      </c>
      <c r="K536" s="4">
        <v>330990</v>
      </c>
      <c r="L536" s="4">
        <f t="shared" si="16"/>
        <v>3971880</v>
      </c>
      <c r="M536" s="4" t="str" cm="1">
        <f t="array" ref="M53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36" s="2">
        <v>11.6</v>
      </c>
      <c r="O536" s="2" t="str" cm="1">
        <f t="array" ref="O536">_xlfn.IFS(Table1[[#This Row],[Distance to School (km)]]&gt;=5,"Far",Table1[[#This Row],[Distance to School (km)]]&lt;5,"Near")</f>
        <v>Far</v>
      </c>
      <c r="P536" s="5">
        <f t="shared" si="17"/>
        <v>0.30049999999999999</v>
      </c>
    </row>
    <row r="537" spans="1:16" ht="15" hidden="1" x14ac:dyDescent="0.25">
      <c r="A537" s="2" t="s">
        <v>542</v>
      </c>
      <c r="B537" s="2" t="s">
        <v>649</v>
      </c>
      <c r="C537" s="2" t="s">
        <v>735</v>
      </c>
      <c r="D537" s="2" t="s">
        <v>754</v>
      </c>
      <c r="E537" s="2">
        <v>16</v>
      </c>
      <c r="F537" s="2" t="str" cm="1">
        <f t="array" ref="F537">_xlfn.IFS(Table1[[#This Row],[Age]]&lt;=16,"15-16",Table1[[#This Row],[Age]]&lt;19,"17-18")</f>
        <v>15-16</v>
      </c>
      <c r="G537" s="2" t="s">
        <v>757</v>
      </c>
      <c r="H537" s="3">
        <v>0.628</v>
      </c>
      <c r="I537" s="3">
        <v>0.79099999999999993</v>
      </c>
      <c r="J537" s="3" t="str" cm="1">
        <f t="array" ref="J537">_xlfn.IFS(Table1[[#This Row],[Overall Attendance]]&gt;=0.6,"Good",Table1[[#This Row],[Overall Attendance]]&lt;0.6,"Bad")</f>
        <v>Good</v>
      </c>
      <c r="K537" s="4">
        <v>374933</v>
      </c>
      <c r="L537" s="4">
        <f t="shared" si="16"/>
        <v>4499196</v>
      </c>
      <c r="M537" s="4" t="str" cm="1">
        <f t="array" ref="M53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37" s="2">
        <v>11.3</v>
      </c>
      <c r="O537" s="2" t="str" cm="1">
        <f t="array" ref="O537">_xlfn.IFS(Table1[[#This Row],[Distance to School (km)]]&gt;=5,"Far",Table1[[#This Row],[Distance to School (km)]]&lt;5,"Near")</f>
        <v>Far</v>
      </c>
      <c r="P537" s="5">
        <f t="shared" si="17"/>
        <v>0.29049999999999998</v>
      </c>
    </row>
    <row r="538" spans="1:16" ht="15" hidden="1" x14ac:dyDescent="0.25">
      <c r="A538" s="2" t="s">
        <v>543</v>
      </c>
      <c r="B538" s="2" t="s">
        <v>679</v>
      </c>
      <c r="C538" s="2" t="s">
        <v>733</v>
      </c>
      <c r="D538" s="2" t="s">
        <v>745</v>
      </c>
      <c r="E538" s="2">
        <v>16</v>
      </c>
      <c r="F538" s="2" t="str" cm="1">
        <f t="array" ref="F538">_xlfn.IFS(Table1[[#This Row],[Age]]&lt;=16,"15-16",Table1[[#This Row],[Age]]&lt;19,"17-18")</f>
        <v>15-16</v>
      </c>
      <c r="G538" s="2" t="s">
        <v>757</v>
      </c>
      <c r="H538" s="3">
        <v>0.60699999999999998</v>
      </c>
      <c r="I538" s="3">
        <v>0.70499999999999996</v>
      </c>
      <c r="J538" s="3" t="str" cm="1">
        <f t="array" ref="J538">_xlfn.IFS(Table1[[#This Row],[Overall Attendance]]&gt;=0.6,"Good",Table1[[#This Row],[Overall Attendance]]&lt;0.6,"Bad")</f>
        <v>Good</v>
      </c>
      <c r="K538" s="4">
        <v>80882</v>
      </c>
      <c r="L538" s="4">
        <f t="shared" si="16"/>
        <v>970584</v>
      </c>
      <c r="M538" s="4" t="str" cm="1">
        <f t="array" ref="M53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38" s="2">
        <v>8.6</v>
      </c>
      <c r="O538" s="2" t="str" cm="1">
        <f t="array" ref="O538">_xlfn.IFS(Table1[[#This Row],[Distance to School (km)]]&gt;=5,"Far",Table1[[#This Row],[Distance to School (km)]]&lt;5,"Near")</f>
        <v>Far</v>
      </c>
      <c r="P538" s="5">
        <f t="shared" si="17"/>
        <v>0.34400000000000008</v>
      </c>
    </row>
    <row r="539" spans="1:16" ht="15" hidden="1" x14ac:dyDescent="0.25">
      <c r="A539" s="2" t="s">
        <v>544</v>
      </c>
      <c r="B539" s="2" t="s">
        <v>653</v>
      </c>
      <c r="C539" s="2" t="s">
        <v>701</v>
      </c>
      <c r="D539" s="2" t="s">
        <v>745</v>
      </c>
      <c r="E539" s="2">
        <v>15</v>
      </c>
      <c r="F539" s="2" t="str" cm="1">
        <f t="array" ref="F539">_xlfn.IFS(Table1[[#This Row],[Age]]&lt;=16,"15-16",Table1[[#This Row],[Age]]&lt;19,"17-18")</f>
        <v>15-16</v>
      </c>
      <c r="G539" s="2" t="s">
        <v>757</v>
      </c>
      <c r="H539" s="3">
        <v>0.80400000000000005</v>
      </c>
      <c r="I539" s="3">
        <v>0.71499999999999997</v>
      </c>
      <c r="J539" s="3" t="str" cm="1">
        <f t="array" ref="J539">_xlfn.IFS(Table1[[#This Row],[Overall Attendance]]&gt;=0.6,"Good",Table1[[#This Row],[Overall Attendance]]&lt;0.6,"Bad")</f>
        <v>Good</v>
      </c>
      <c r="K539" s="4">
        <v>23188</v>
      </c>
      <c r="L539" s="4">
        <f t="shared" si="16"/>
        <v>278256</v>
      </c>
      <c r="M539" s="4" t="str" cm="1">
        <f t="array" ref="M53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39" s="2">
        <v>9.9</v>
      </c>
      <c r="O539" s="2" t="str" cm="1">
        <f t="array" ref="O539">_xlfn.IFS(Table1[[#This Row],[Distance to School (km)]]&gt;=5,"Far",Table1[[#This Row],[Distance to School (km)]]&lt;5,"Near")</f>
        <v>Far</v>
      </c>
      <c r="P539" s="5">
        <f t="shared" si="17"/>
        <v>0.24049999999999994</v>
      </c>
    </row>
    <row r="540" spans="1:16" ht="15" hidden="1" x14ac:dyDescent="0.25">
      <c r="A540" s="2" t="s">
        <v>545</v>
      </c>
      <c r="B540" s="2" t="s">
        <v>658</v>
      </c>
      <c r="C540" s="2" t="s">
        <v>646</v>
      </c>
      <c r="D540" s="2" t="s">
        <v>737</v>
      </c>
      <c r="E540" s="2">
        <v>16</v>
      </c>
      <c r="F540" s="2" t="str" cm="1">
        <f t="array" ref="F540">_xlfn.IFS(Table1[[#This Row],[Age]]&lt;=16,"15-16",Table1[[#This Row],[Age]]&lt;19,"17-18")</f>
        <v>15-16</v>
      </c>
      <c r="G540" s="2" t="s">
        <v>757</v>
      </c>
      <c r="H540" s="3">
        <v>0.66</v>
      </c>
      <c r="I540" s="3">
        <v>0.98</v>
      </c>
      <c r="J540" s="3" t="str" cm="1">
        <f t="array" ref="J540">_xlfn.IFS(Table1[[#This Row],[Overall Attendance]]&gt;=0.6,"Good",Table1[[#This Row],[Overall Attendance]]&lt;0.6,"Bad")</f>
        <v>Good</v>
      </c>
      <c r="K540" s="4">
        <v>377838</v>
      </c>
      <c r="L540" s="4">
        <f t="shared" si="16"/>
        <v>4534056</v>
      </c>
      <c r="M540" s="4" t="str" cm="1">
        <f t="array" ref="M54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40" s="2">
        <v>4.2</v>
      </c>
      <c r="O540" s="2" t="str" cm="1">
        <f t="array" ref="O540">_xlfn.IFS(Table1[[#This Row],[Distance to School (km)]]&gt;=5,"Far",Table1[[#This Row],[Distance to School (km)]]&lt;5,"Near")</f>
        <v>Near</v>
      </c>
      <c r="P540" s="5">
        <f t="shared" si="17"/>
        <v>0.17999999999999994</v>
      </c>
    </row>
    <row r="541" spans="1:16" ht="15" x14ac:dyDescent="0.25">
      <c r="A541" s="2" t="s">
        <v>546</v>
      </c>
      <c r="B541" s="2" t="s">
        <v>659</v>
      </c>
      <c r="C541" s="2" t="s">
        <v>711</v>
      </c>
      <c r="D541" s="2" t="s">
        <v>739</v>
      </c>
      <c r="E541" s="2">
        <v>17</v>
      </c>
      <c r="F541" s="2" t="str" cm="1">
        <f t="array" ref="F541">_xlfn.IFS(Table1[[#This Row],[Age]]&lt;=16,"15-16",Table1[[#This Row],[Age]]&lt;19,"17-18")</f>
        <v>17-18</v>
      </c>
      <c r="G541" s="2" t="s">
        <v>758</v>
      </c>
      <c r="H541" s="3">
        <v>0.69099999999999995</v>
      </c>
      <c r="I541" s="3">
        <v>0.83700000000000008</v>
      </c>
      <c r="J541" s="3" t="str" cm="1">
        <f t="array" ref="J541">_xlfn.IFS(Table1[[#This Row],[Overall Attendance]]&gt;=0.6,"Good",Table1[[#This Row],[Overall Attendance]]&lt;0.6,"Bad")</f>
        <v>Good</v>
      </c>
      <c r="K541" s="4">
        <v>237025</v>
      </c>
      <c r="L541" s="4">
        <f t="shared" si="16"/>
        <v>2844300</v>
      </c>
      <c r="M541" s="4" t="str" cm="1">
        <f t="array" ref="M54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41" s="2">
        <v>2.4</v>
      </c>
      <c r="O541" s="2" t="str" cm="1">
        <f t="array" ref="O541">_xlfn.IFS(Table1[[#This Row],[Distance to School (km)]]&gt;=5,"Far",Table1[[#This Row],[Distance to School (km)]]&lt;5,"Near")</f>
        <v>Near</v>
      </c>
      <c r="P541" s="5">
        <f t="shared" si="17"/>
        <v>0.23599999999999999</v>
      </c>
    </row>
    <row r="542" spans="1:16" ht="15" x14ac:dyDescent="0.25">
      <c r="A542" s="2" t="s">
        <v>547</v>
      </c>
      <c r="B542" s="2" t="s">
        <v>668</v>
      </c>
      <c r="C542" s="2" t="s">
        <v>690</v>
      </c>
      <c r="D542" s="2" t="s">
        <v>747</v>
      </c>
      <c r="E542" s="2">
        <v>18</v>
      </c>
      <c r="F542" s="2" t="str" cm="1">
        <f t="array" ref="F542">_xlfn.IFS(Table1[[#This Row],[Age]]&lt;=16,"15-16",Table1[[#This Row],[Age]]&lt;19,"17-18")</f>
        <v>17-18</v>
      </c>
      <c r="G542" s="2" t="s">
        <v>757</v>
      </c>
      <c r="H542" s="3">
        <v>0.67299999999999993</v>
      </c>
      <c r="I542" s="3">
        <v>0.83200000000000007</v>
      </c>
      <c r="J542" s="3" t="str" cm="1">
        <f t="array" ref="J542">_xlfn.IFS(Table1[[#This Row],[Overall Attendance]]&gt;=0.6,"Good",Table1[[#This Row],[Overall Attendance]]&lt;0.6,"Bad")</f>
        <v>Good</v>
      </c>
      <c r="K542" s="4">
        <v>91432</v>
      </c>
      <c r="L542" s="4">
        <f t="shared" si="16"/>
        <v>1097184</v>
      </c>
      <c r="M542" s="4" t="str" cm="1">
        <f t="array" ref="M54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42" s="2">
        <v>0.7</v>
      </c>
      <c r="O542" s="2" t="str" cm="1">
        <f t="array" ref="O542">_xlfn.IFS(Table1[[#This Row],[Distance to School (km)]]&gt;=5,"Far",Table1[[#This Row],[Distance to School (km)]]&lt;5,"Near")</f>
        <v>Near</v>
      </c>
      <c r="P542" s="5">
        <f t="shared" si="17"/>
        <v>0.24750000000000005</v>
      </c>
    </row>
    <row r="543" spans="1:16" ht="15" hidden="1" x14ac:dyDescent="0.25">
      <c r="A543" s="2" t="s">
        <v>548</v>
      </c>
      <c r="B543" s="2" t="s">
        <v>650</v>
      </c>
      <c r="C543" s="2" t="s">
        <v>685</v>
      </c>
      <c r="D543" s="2" t="s">
        <v>752</v>
      </c>
      <c r="E543" s="2">
        <v>16</v>
      </c>
      <c r="F543" s="2" t="str" cm="1">
        <f t="array" ref="F543">_xlfn.IFS(Table1[[#This Row],[Age]]&lt;=16,"15-16",Table1[[#This Row],[Age]]&lt;19,"17-18")</f>
        <v>15-16</v>
      </c>
      <c r="G543" s="2" t="s">
        <v>757</v>
      </c>
      <c r="H543" s="3">
        <v>0.78799999999999992</v>
      </c>
      <c r="I543" s="3">
        <v>0.75</v>
      </c>
      <c r="J543" s="3" t="str" cm="1">
        <f t="array" ref="J543">_xlfn.IFS(Table1[[#This Row],[Overall Attendance]]&gt;=0.6,"Good",Table1[[#This Row],[Overall Attendance]]&lt;0.6,"Bad")</f>
        <v>Good</v>
      </c>
      <c r="K543" s="4">
        <v>381798</v>
      </c>
      <c r="L543" s="4">
        <f t="shared" si="16"/>
        <v>4581576</v>
      </c>
      <c r="M543" s="4" t="str" cm="1">
        <f t="array" ref="M54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43" s="2">
        <v>8.5</v>
      </c>
      <c r="O543" s="2" t="str" cm="1">
        <f t="array" ref="O543">_xlfn.IFS(Table1[[#This Row],[Distance to School (km)]]&gt;=5,"Far",Table1[[#This Row],[Distance to School (km)]]&lt;5,"Near")</f>
        <v>Far</v>
      </c>
      <c r="P543" s="5">
        <f t="shared" si="17"/>
        <v>0.23100000000000009</v>
      </c>
    </row>
    <row r="544" spans="1:16" ht="15" hidden="1" x14ac:dyDescent="0.25">
      <c r="A544" s="2" t="s">
        <v>549</v>
      </c>
      <c r="B544" s="2" t="s">
        <v>641</v>
      </c>
      <c r="C544" s="2" t="s">
        <v>700</v>
      </c>
      <c r="D544" s="2" t="s">
        <v>756</v>
      </c>
      <c r="E544" s="2">
        <v>15</v>
      </c>
      <c r="F544" s="2" t="str" cm="1">
        <f t="array" ref="F544">_xlfn.IFS(Table1[[#This Row],[Age]]&lt;=16,"15-16",Table1[[#This Row],[Age]]&lt;19,"17-18")</f>
        <v>15-16</v>
      </c>
      <c r="G544" s="2" t="s">
        <v>757</v>
      </c>
      <c r="H544" s="3">
        <v>0.53600000000000003</v>
      </c>
      <c r="I544" s="3">
        <v>0.84299999999999997</v>
      </c>
      <c r="J544" s="3" t="str" cm="1">
        <f t="array" ref="J544">_xlfn.IFS(Table1[[#This Row],[Overall Attendance]]&gt;=0.6,"Good",Table1[[#This Row],[Overall Attendance]]&lt;0.6,"Bad")</f>
        <v>Good</v>
      </c>
      <c r="K544" s="4">
        <v>90013</v>
      </c>
      <c r="L544" s="4">
        <f t="shared" si="16"/>
        <v>1080156</v>
      </c>
      <c r="M544" s="4" t="str" cm="1">
        <f t="array" ref="M54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44" s="2">
        <v>8.6999999999999993</v>
      </c>
      <c r="O544" s="2" t="str" cm="1">
        <f t="array" ref="O544">_xlfn.IFS(Table1[[#This Row],[Distance to School (km)]]&gt;=5,"Far",Table1[[#This Row],[Distance to School (km)]]&lt;5,"Near")</f>
        <v>Far</v>
      </c>
      <c r="P544" s="5">
        <f t="shared" si="17"/>
        <v>0.3105</v>
      </c>
    </row>
    <row r="545" spans="1:16" ht="15" hidden="1" x14ac:dyDescent="0.25">
      <c r="A545" s="2" t="s">
        <v>550</v>
      </c>
      <c r="B545" s="2" t="s">
        <v>654</v>
      </c>
      <c r="C545" s="2" t="s">
        <v>726</v>
      </c>
      <c r="D545" s="2" t="s">
        <v>746</v>
      </c>
      <c r="E545" s="2">
        <v>16</v>
      </c>
      <c r="F545" s="2" t="str" cm="1">
        <f t="array" ref="F545">_xlfn.IFS(Table1[[#This Row],[Age]]&lt;=16,"15-16",Table1[[#This Row],[Age]]&lt;19,"17-18")</f>
        <v>15-16</v>
      </c>
      <c r="G545" s="2" t="s">
        <v>758</v>
      </c>
      <c r="H545" s="3">
        <v>0.54700000000000004</v>
      </c>
      <c r="I545" s="3">
        <v>0.79700000000000004</v>
      </c>
      <c r="J545" s="3" t="str" cm="1">
        <f t="array" ref="J545">_xlfn.IFS(Table1[[#This Row],[Overall Attendance]]&gt;=0.6,"Good",Table1[[#This Row],[Overall Attendance]]&lt;0.6,"Bad")</f>
        <v>Good</v>
      </c>
      <c r="K545" s="4">
        <v>56271</v>
      </c>
      <c r="L545" s="4">
        <f t="shared" si="16"/>
        <v>675252</v>
      </c>
      <c r="M545" s="4" t="str" cm="1">
        <f t="array" ref="M54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45" s="2">
        <v>5.8</v>
      </c>
      <c r="O545" s="2" t="str" cm="1">
        <f t="array" ref="O545">_xlfn.IFS(Table1[[#This Row],[Distance to School (km)]]&gt;=5,"Far",Table1[[#This Row],[Distance to School (km)]]&lt;5,"Near")</f>
        <v>Far</v>
      </c>
      <c r="P545" s="5">
        <f t="shared" si="17"/>
        <v>0.32799999999999996</v>
      </c>
    </row>
    <row r="546" spans="1:16" ht="15" hidden="1" x14ac:dyDescent="0.25">
      <c r="A546" s="2" t="s">
        <v>551</v>
      </c>
      <c r="B546" s="2" t="s">
        <v>655</v>
      </c>
      <c r="C546" s="2" t="s">
        <v>709</v>
      </c>
      <c r="D546" s="2" t="s">
        <v>743</v>
      </c>
      <c r="E546" s="2">
        <v>15</v>
      </c>
      <c r="F546" s="2" t="str" cm="1">
        <f t="array" ref="F546">_xlfn.IFS(Table1[[#This Row],[Age]]&lt;=16,"15-16",Table1[[#This Row],[Age]]&lt;19,"17-18")</f>
        <v>15-16</v>
      </c>
      <c r="G546" s="2" t="s">
        <v>758</v>
      </c>
      <c r="H546" s="3">
        <v>0.67299999999999993</v>
      </c>
      <c r="I546" s="3">
        <v>0.67400000000000004</v>
      </c>
      <c r="J546" s="3" t="str" cm="1">
        <f t="array" ref="J546">_xlfn.IFS(Table1[[#This Row],[Overall Attendance]]&gt;=0.6,"Good",Table1[[#This Row],[Overall Attendance]]&lt;0.6,"Bad")</f>
        <v>Good</v>
      </c>
      <c r="K546" s="4">
        <v>81092</v>
      </c>
      <c r="L546" s="4">
        <f t="shared" si="16"/>
        <v>973104</v>
      </c>
      <c r="M546" s="4" t="str" cm="1">
        <f t="array" ref="M54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46" s="2">
        <v>8.1999999999999993</v>
      </c>
      <c r="O546" s="2" t="str" cm="1">
        <f t="array" ref="O546">_xlfn.IFS(Table1[[#This Row],[Distance to School (km)]]&gt;=5,"Far",Table1[[#This Row],[Distance to School (km)]]&lt;5,"Near")</f>
        <v>Far</v>
      </c>
      <c r="P546" s="5">
        <f t="shared" si="17"/>
        <v>0.32650000000000001</v>
      </c>
    </row>
    <row r="547" spans="1:16" ht="15" hidden="1" x14ac:dyDescent="0.25">
      <c r="A547" s="2" t="s">
        <v>552</v>
      </c>
      <c r="B547" s="2" t="s">
        <v>651</v>
      </c>
      <c r="C547" s="2" t="s">
        <v>700</v>
      </c>
      <c r="D547" s="2" t="s">
        <v>748</v>
      </c>
      <c r="E547" s="2">
        <v>16</v>
      </c>
      <c r="F547" s="2" t="str" cm="1">
        <f t="array" ref="F547">_xlfn.IFS(Table1[[#This Row],[Age]]&lt;=16,"15-16",Table1[[#This Row],[Age]]&lt;19,"17-18")</f>
        <v>15-16</v>
      </c>
      <c r="G547" s="2" t="s">
        <v>757</v>
      </c>
      <c r="H547" s="3">
        <v>0.64300000000000002</v>
      </c>
      <c r="I547" s="3">
        <v>0.89400000000000002</v>
      </c>
      <c r="J547" s="3" t="str" cm="1">
        <f t="array" ref="J547">_xlfn.IFS(Table1[[#This Row],[Overall Attendance]]&gt;=0.6,"Good",Table1[[#This Row],[Overall Attendance]]&lt;0.6,"Bad")</f>
        <v>Good</v>
      </c>
      <c r="K547" s="4">
        <v>40211</v>
      </c>
      <c r="L547" s="4">
        <f t="shared" si="16"/>
        <v>482532</v>
      </c>
      <c r="M547" s="4" t="str" cm="1">
        <f t="array" ref="M54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47" s="2">
        <v>9</v>
      </c>
      <c r="O547" s="2" t="str" cm="1">
        <f t="array" ref="O547">_xlfn.IFS(Table1[[#This Row],[Distance to School (km)]]&gt;=5,"Far",Table1[[#This Row],[Distance to School (km)]]&lt;5,"Near")</f>
        <v>Far</v>
      </c>
      <c r="P547" s="5">
        <f t="shared" si="17"/>
        <v>0.23150000000000004</v>
      </c>
    </row>
    <row r="548" spans="1:16" ht="15" x14ac:dyDescent="0.25">
      <c r="A548" s="2" t="s">
        <v>553</v>
      </c>
      <c r="B548" s="2" t="s">
        <v>671</v>
      </c>
      <c r="C548" s="2" t="s">
        <v>732</v>
      </c>
      <c r="D548" s="2" t="s">
        <v>753</v>
      </c>
      <c r="E548" s="2">
        <v>17</v>
      </c>
      <c r="F548" s="2" t="str" cm="1">
        <f t="array" ref="F548">_xlfn.IFS(Table1[[#This Row],[Age]]&lt;=16,"15-16",Table1[[#This Row],[Age]]&lt;19,"17-18")</f>
        <v>17-18</v>
      </c>
      <c r="G548" s="2" t="s">
        <v>757</v>
      </c>
      <c r="H548" s="3">
        <v>0.57399999999999995</v>
      </c>
      <c r="I548" s="3">
        <v>0.81599999999999995</v>
      </c>
      <c r="J548" s="3" t="str" cm="1">
        <f t="array" ref="J548">_xlfn.IFS(Table1[[#This Row],[Overall Attendance]]&gt;=0.6,"Good",Table1[[#This Row],[Overall Attendance]]&lt;0.6,"Bad")</f>
        <v>Good</v>
      </c>
      <c r="K548" s="4">
        <v>158304</v>
      </c>
      <c r="L548" s="4">
        <f t="shared" si="16"/>
        <v>1899648</v>
      </c>
      <c r="M548" s="4" t="str" cm="1">
        <f t="array" ref="M54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48" s="2">
        <v>5.3</v>
      </c>
      <c r="O548" s="2" t="str" cm="1">
        <f t="array" ref="O548">_xlfn.IFS(Table1[[#This Row],[Distance to School (km)]]&gt;=5,"Far",Table1[[#This Row],[Distance to School (km)]]&lt;5,"Near")</f>
        <v>Far</v>
      </c>
      <c r="P548" s="5">
        <f t="shared" si="17"/>
        <v>0.30500000000000005</v>
      </c>
    </row>
    <row r="549" spans="1:16" ht="15" x14ac:dyDescent="0.25">
      <c r="A549" s="2" t="s">
        <v>554</v>
      </c>
      <c r="B549" s="2" t="s">
        <v>661</v>
      </c>
      <c r="C549" s="2" t="s">
        <v>687</v>
      </c>
      <c r="D549" s="2" t="s">
        <v>754</v>
      </c>
      <c r="E549" s="2">
        <v>18</v>
      </c>
      <c r="F549" s="2" t="str" cm="1">
        <f t="array" ref="F549">_xlfn.IFS(Table1[[#This Row],[Age]]&lt;=16,"15-16",Table1[[#This Row],[Age]]&lt;19,"17-18")</f>
        <v>17-18</v>
      </c>
      <c r="G549" s="2" t="s">
        <v>757</v>
      </c>
      <c r="H549" s="3">
        <v>0.63200000000000001</v>
      </c>
      <c r="I549" s="3">
        <v>0.89300000000000002</v>
      </c>
      <c r="J549" s="3" t="str" cm="1">
        <f t="array" ref="J549">_xlfn.IFS(Table1[[#This Row],[Overall Attendance]]&gt;=0.6,"Good",Table1[[#This Row],[Overall Attendance]]&lt;0.6,"Bad")</f>
        <v>Good</v>
      </c>
      <c r="K549" s="4">
        <v>33519</v>
      </c>
      <c r="L549" s="4">
        <f t="shared" si="16"/>
        <v>402228</v>
      </c>
      <c r="M549" s="4" t="str" cm="1">
        <f t="array" ref="M54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49" s="2">
        <v>5.9</v>
      </c>
      <c r="O549" s="2" t="str" cm="1">
        <f t="array" ref="O549">_xlfn.IFS(Table1[[#This Row],[Distance to School (km)]]&gt;=5,"Far",Table1[[#This Row],[Distance to School (km)]]&lt;5,"Near")</f>
        <v>Far</v>
      </c>
      <c r="P549" s="5">
        <f t="shared" si="17"/>
        <v>0.23750000000000004</v>
      </c>
    </row>
    <row r="550" spans="1:16" ht="15" x14ac:dyDescent="0.25">
      <c r="A550" s="2" t="s">
        <v>555</v>
      </c>
      <c r="B550" s="2" t="s">
        <v>666</v>
      </c>
      <c r="C550" s="2" t="s">
        <v>727</v>
      </c>
      <c r="D550" s="2" t="s">
        <v>751</v>
      </c>
      <c r="E550" s="2">
        <v>17</v>
      </c>
      <c r="F550" s="2" t="str" cm="1">
        <f t="array" ref="F550">_xlfn.IFS(Table1[[#This Row],[Age]]&lt;=16,"15-16",Table1[[#This Row],[Age]]&lt;19,"17-18")</f>
        <v>17-18</v>
      </c>
      <c r="G550" s="2" t="s">
        <v>757</v>
      </c>
      <c r="H550" s="3">
        <v>0.65500000000000003</v>
      </c>
      <c r="I550" s="3">
        <v>0.95400000000000007</v>
      </c>
      <c r="J550" s="3" t="str" cm="1">
        <f t="array" ref="J550">_xlfn.IFS(Table1[[#This Row],[Overall Attendance]]&gt;=0.6,"Good",Table1[[#This Row],[Overall Attendance]]&lt;0.6,"Bad")</f>
        <v>Good</v>
      </c>
      <c r="K550" s="4">
        <v>235758</v>
      </c>
      <c r="L550" s="4">
        <f t="shared" si="16"/>
        <v>2829096</v>
      </c>
      <c r="M550" s="4" t="str" cm="1">
        <f t="array" ref="M55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50" s="2">
        <v>8.8000000000000007</v>
      </c>
      <c r="O550" s="2" t="str" cm="1">
        <f t="array" ref="O550">_xlfn.IFS(Table1[[#This Row],[Distance to School (km)]]&gt;=5,"Far",Table1[[#This Row],[Distance to School (km)]]&lt;5,"Near")</f>
        <v>Far</v>
      </c>
      <c r="P550" s="5">
        <f t="shared" si="17"/>
        <v>0.19550000000000001</v>
      </c>
    </row>
    <row r="551" spans="1:16" ht="15" x14ac:dyDescent="0.25">
      <c r="A551" s="2" t="s">
        <v>556</v>
      </c>
      <c r="B551" s="2" t="s">
        <v>682</v>
      </c>
      <c r="C551" s="2" t="s">
        <v>724</v>
      </c>
      <c r="D551" s="2" t="s">
        <v>751</v>
      </c>
      <c r="E551" s="2">
        <v>17</v>
      </c>
      <c r="F551" s="2" t="str" cm="1">
        <f t="array" ref="F551">_xlfn.IFS(Table1[[#This Row],[Age]]&lt;=16,"15-16",Table1[[#This Row],[Age]]&lt;19,"17-18")</f>
        <v>17-18</v>
      </c>
      <c r="G551" s="2" t="s">
        <v>758</v>
      </c>
      <c r="H551" s="3">
        <v>0.77200000000000002</v>
      </c>
      <c r="I551" s="3">
        <v>0.84599999999999997</v>
      </c>
      <c r="J551" s="3" t="str" cm="1">
        <f t="array" ref="J551">_xlfn.IFS(Table1[[#This Row],[Overall Attendance]]&gt;=0.6,"Good",Table1[[#This Row],[Overall Attendance]]&lt;0.6,"Bad")</f>
        <v>Good</v>
      </c>
      <c r="K551" s="4">
        <v>322038</v>
      </c>
      <c r="L551" s="4">
        <f t="shared" si="16"/>
        <v>3864456</v>
      </c>
      <c r="M551" s="4" t="str" cm="1">
        <f t="array" ref="M55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51" s="2">
        <v>5.3</v>
      </c>
      <c r="O551" s="2" t="str" cm="1">
        <f t="array" ref="O551">_xlfn.IFS(Table1[[#This Row],[Distance to School (km)]]&gt;=5,"Far",Table1[[#This Row],[Distance to School (km)]]&lt;5,"Near")</f>
        <v>Far</v>
      </c>
      <c r="P551" s="5">
        <f t="shared" si="17"/>
        <v>0.19100000000000006</v>
      </c>
    </row>
    <row r="552" spans="1:16" ht="15" x14ac:dyDescent="0.25">
      <c r="A552" s="2" t="s">
        <v>557</v>
      </c>
      <c r="B552" s="2" t="s">
        <v>683</v>
      </c>
      <c r="C552" s="2" t="s">
        <v>727</v>
      </c>
      <c r="D552" s="2" t="s">
        <v>737</v>
      </c>
      <c r="E552" s="2">
        <v>18</v>
      </c>
      <c r="F552" s="2" t="str" cm="1">
        <f t="array" ref="F552">_xlfn.IFS(Table1[[#This Row],[Age]]&lt;=16,"15-16",Table1[[#This Row],[Age]]&lt;19,"17-18")</f>
        <v>17-18</v>
      </c>
      <c r="G552" s="2" t="s">
        <v>757</v>
      </c>
      <c r="H552" s="3">
        <v>0.73799999999999999</v>
      </c>
      <c r="I552" s="3">
        <v>0.96799999999999997</v>
      </c>
      <c r="J552" s="3" t="str" cm="1">
        <f t="array" ref="J552">_xlfn.IFS(Table1[[#This Row],[Overall Attendance]]&gt;=0.6,"Good",Table1[[#This Row],[Overall Attendance]]&lt;0.6,"Bad")</f>
        <v>Good</v>
      </c>
      <c r="K552" s="4">
        <v>561137</v>
      </c>
      <c r="L552" s="4">
        <f t="shared" si="16"/>
        <v>6733644</v>
      </c>
      <c r="M552" s="4" t="str" cm="1">
        <f t="array" ref="M552">_xlfn.IFS(Table1[[#This Row],[Family Income per Year]]&gt;=5000000,"High Income",Table1[[#This Row],[Family Income per Year]]&gt;=1000000,"Middle Income",Table1[[#This Row],[Family Income per Year]]&lt;1000000,"Low Income")</f>
        <v>High Income</v>
      </c>
      <c r="N552" s="2">
        <v>1.5</v>
      </c>
      <c r="O552" s="2" t="str" cm="1">
        <f t="array" ref="O552">_xlfn.IFS(Table1[[#This Row],[Distance to School (km)]]&gt;=5,"Far",Table1[[#This Row],[Distance to School (km)]]&lt;5,"Near")</f>
        <v>Near</v>
      </c>
      <c r="P552" s="5">
        <f t="shared" si="17"/>
        <v>0.14700000000000002</v>
      </c>
    </row>
    <row r="553" spans="1:16" ht="15" hidden="1" x14ac:dyDescent="0.25">
      <c r="A553" s="2" t="s">
        <v>558</v>
      </c>
      <c r="B553" s="2" t="s">
        <v>681</v>
      </c>
      <c r="C553" s="2" t="s">
        <v>676</v>
      </c>
      <c r="D553" s="2" t="s">
        <v>744</v>
      </c>
      <c r="E553" s="2">
        <v>16</v>
      </c>
      <c r="F553" s="2" t="str" cm="1">
        <f t="array" ref="F553">_xlfn.IFS(Table1[[#This Row],[Age]]&lt;=16,"15-16",Table1[[#This Row],[Age]]&lt;19,"17-18")</f>
        <v>15-16</v>
      </c>
      <c r="G553" s="2" t="s">
        <v>757</v>
      </c>
      <c r="H553" s="3">
        <v>0.58499999999999996</v>
      </c>
      <c r="I553" s="3">
        <v>0.97900000000000009</v>
      </c>
      <c r="J553" s="3" t="str" cm="1">
        <f t="array" ref="J553">_xlfn.IFS(Table1[[#This Row],[Overall Attendance]]&gt;=0.6,"Good",Table1[[#This Row],[Overall Attendance]]&lt;0.6,"Bad")</f>
        <v>Good</v>
      </c>
      <c r="K553" s="4">
        <v>285799</v>
      </c>
      <c r="L553" s="4">
        <f t="shared" si="16"/>
        <v>3429588</v>
      </c>
      <c r="M553" s="4" t="str" cm="1">
        <f t="array" ref="M55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53" s="2">
        <v>7.2</v>
      </c>
      <c r="O553" s="2" t="str" cm="1">
        <f t="array" ref="O553">_xlfn.IFS(Table1[[#This Row],[Distance to School (km)]]&gt;=5,"Far",Table1[[#This Row],[Distance to School (km)]]&lt;5,"Near")</f>
        <v>Far</v>
      </c>
      <c r="P553" s="5">
        <f t="shared" si="17"/>
        <v>0.21799999999999997</v>
      </c>
    </row>
    <row r="554" spans="1:16" ht="15" hidden="1" x14ac:dyDescent="0.25">
      <c r="A554" s="2" t="s">
        <v>559</v>
      </c>
      <c r="B554" s="2" t="s">
        <v>644</v>
      </c>
      <c r="C554" s="2" t="s">
        <v>729</v>
      </c>
      <c r="D554" s="2" t="s">
        <v>745</v>
      </c>
      <c r="E554" s="2">
        <v>15</v>
      </c>
      <c r="F554" s="2" t="str" cm="1">
        <f t="array" ref="F554">_xlfn.IFS(Table1[[#This Row],[Age]]&lt;=16,"15-16",Table1[[#This Row],[Age]]&lt;19,"17-18")</f>
        <v>15-16</v>
      </c>
      <c r="G554" s="2" t="s">
        <v>757</v>
      </c>
      <c r="H554" s="3">
        <v>0.81499999999999995</v>
      </c>
      <c r="I554" s="3">
        <v>0.81099999999999994</v>
      </c>
      <c r="J554" s="3" t="str" cm="1">
        <f t="array" ref="J554">_xlfn.IFS(Table1[[#This Row],[Overall Attendance]]&gt;=0.6,"Good",Table1[[#This Row],[Overall Attendance]]&lt;0.6,"Bad")</f>
        <v>Good</v>
      </c>
      <c r="K554" s="4">
        <v>339231</v>
      </c>
      <c r="L554" s="4">
        <f t="shared" si="16"/>
        <v>4070772</v>
      </c>
      <c r="M554" s="4" t="str" cm="1">
        <f t="array" ref="M55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54" s="2">
        <v>6</v>
      </c>
      <c r="O554" s="2" t="str" cm="1">
        <f t="array" ref="O554">_xlfn.IFS(Table1[[#This Row],[Distance to School (km)]]&gt;=5,"Far",Table1[[#This Row],[Distance to School (km)]]&lt;5,"Near")</f>
        <v>Far</v>
      </c>
      <c r="P554" s="5">
        <f t="shared" si="17"/>
        <v>0.18700000000000006</v>
      </c>
    </row>
    <row r="555" spans="1:16" ht="15" hidden="1" x14ac:dyDescent="0.25">
      <c r="A555" s="2" t="s">
        <v>560</v>
      </c>
      <c r="B555" s="2" t="s">
        <v>668</v>
      </c>
      <c r="C555" s="2" t="s">
        <v>719</v>
      </c>
      <c r="D555" s="2" t="s">
        <v>742</v>
      </c>
      <c r="E555" s="2">
        <v>15</v>
      </c>
      <c r="F555" s="2" t="str" cm="1">
        <f t="array" ref="F555">_xlfn.IFS(Table1[[#This Row],[Age]]&lt;=16,"15-16",Table1[[#This Row],[Age]]&lt;19,"17-18")</f>
        <v>15-16</v>
      </c>
      <c r="G555" s="2" t="s">
        <v>758</v>
      </c>
      <c r="H555" s="3">
        <v>0.60199999999999998</v>
      </c>
      <c r="I555" s="3">
        <v>0.81400000000000006</v>
      </c>
      <c r="J555" s="3" t="str" cm="1">
        <f t="array" ref="J555">_xlfn.IFS(Table1[[#This Row],[Overall Attendance]]&gt;=0.6,"Good",Table1[[#This Row],[Overall Attendance]]&lt;0.6,"Bad")</f>
        <v>Good</v>
      </c>
      <c r="K555" s="4">
        <v>128575</v>
      </c>
      <c r="L555" s="4">
        <f t="shared" si="16"/>
        <v>1542900</v>
      </c>
      <c r="M555" s="4" t="str" cm="1">
        <f t="array" ref="M55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55" s="2">
        <v>3.9</v>
      </c>
      <c r="O555" s="2" t="str" cm="1">
        <f t="array" ref="O555">_xlfn.IFS(Table1[[#This Row],[Distance to School (km)]]&gt;=5,"Far",Table1[[#This Row],[Distance to School (km)]]&lt;5,"Near")</f>
        <v>Near</v>
      </c>
      <c r="P555" s="5">
        <f t="shared" si="17"/>
        <v>0.29200000000000004</v>
      </c>
    </row>
    <row r="556" spans="1:16" ht="15" hidden="1" x14ac:dyDescent="0.25">
      <c r="A556" s="2" t="s">
        <v>561</v>
      </c>
      <c r="B556" s="2" t="s">
        <v>663</v>
      </c>
      <c r="C556" s="2" t="s">
        <v>646</v>
      </c>
      <c r="D556" s="2" t="s">
        <v>748</v>
      </c>
      <c r="E556" s="2">
        <v>16</v>
      </c>
      <c r="F556" s="2" t="str" cm="1">
        <f t="array" ref="F556">_xlfn.IFS(Table1[[#This Row],[Age]]&lt;=16,"15-16",Table1[[#This Row],[Age]]&lt;19,"17-18")</f>
        <v>15-16</v>
      </c>
      <c r="G556" s="2" t="s">
        <v>757</v>
      </c>
      <c r="H556" s="3">
        <v>0.69</v>
      </c>
      <c r="I556" s="3">
        <v>0.91400000000000003</v>
      </c>
      <c r="J556" s="3" t="str" cm="1">
        <f t="array" ref="J556">_xlfn.IFS(Table1[[#This Row],[Overall Attendance]]&gt;=0.6,"Good",Table1[[#This Row],[Overall Attendance]]&lt;0.6,"Bad")</f>
        <v>Good</v>
      </c>
      <c r="K556" s="4">
        <v>206400</v>
      </c>
      <c r="L556" s="4">
        <f t="shared" si="16"/>
        <v>2476800</v>
      </c>
      <c r="M556" s="4" t="str" cm="1">
        <f t="array" ref="M55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56" s="2">
        <v>5.8</v>
      </c>
      <c r="O556" s="2" t="str" cm="1">
        <f t="array" ref="O556">_xlfn.IFS(Table1[[#This Row],[Distance to School (km)]]&gt;=5,"Far",Table1[[#This Row],[Distance to School (km)]]&lt;5,"Near")</f>
        <v>Far</v>
      </c>
      <c r="P556" s="5">
        <f t="shared" si="17"/>
        <v>0.19799999999999995</v>
      </c>
    </row>
    <row r="557" spans="1:16" ht="15" x14ac:dyDescent="0.25">
      <c r="A557" s="2" t="s">
        <v>562</v>
      </c>
      <c r="B557" s="2" t="s">
        <v>651</v>
      </c>
      <c r="C557" s="2" t="s">
        <v>717</v>
      </c>
      <c r="D557" s="2" t="s">
        <v>641</v>
      </c>
      <c r="E557" s="2">
        <v>17</v>
      </c>
      <c r="F557" s="2" t="str" cm="1">
        <f t="array" ref="F557">_xlfn.IFS(Table1[[#This Row],[Age]]&lt;=16,"15-16",Table1[[#This Row],[Age]]&lt;19,"17-18")</f>
        <v>17-18</v>
      </c>
      <c r="G557" s="2" t="s">
        <v>758</v>
      </c>
      <c r="H557" s="3">
        <v>0.45399999999999996</v>
      </c>
      <c r="I557" s="3">
        <v>0.85199999999999998</v>
      </c>
      <c r="J557" s="3" t="str" cm="1">
        <f t="array" ref="J557">_xlfn.IFS(Table1[[#This Row],[Overall Attendance]]&gt;=0.6,"Good",Table1[[#This Row],[Overall Attendance]]&lt;0.6,"Bad")</f>
        <v>Good</v>
      </c>
      <c r="K557" s="4">
        <v>109267</v>
      </c>
      <c r="L557" s="4">
        <f t="shared" si="16"/>
        <v>1311204</v>
      </c>
      <c r="M557" s="4" t="str" cm="1">
        <f t="array" ref="M55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57" s="2">
        <v>6.6</v>
      </c>
      <c r="O557" s="2" t="str" cm="1">
        <f t="array" ref="O557">_xlfn.IFS(Table1[[#This Row],[Distance to School (km)]]&gt;=5,"Far",Table1[[#This Row],[Distance to School (km)]]&lt;5,"Near")</f>
        <v>Far</v>
      </c>
      <c r="P557" s="5">
        <f t="shared" si="17"/>
        <v>0.34699999999999998</v>
      </c>
    </row>
    <row r="558" spans="1:16" ht="15" hidden="1" x14ac:dyDescent="0.25">
      <c r="A558" s="2" t="s">
        <v>563</v>
      </c>
      <c r="B558" s="2" t="s">
        <v>641</v>
      </c>
      <c r="C558" s="2" t="s">
        <v>714</v>
      </c>
      <c r="D558" s="2" t="s">
        <v>646</v>
      </c>
      <c r="E558" s="2">
        <v>15</v>
      </c>
      <c r="F558" s="2" t="str" cm="1">
        <f t="array" ref="F558">_xlfn.IFS(Table1[[#This Row],[Age]]&lt;=16,"15-16",Table1[[#This Row],[Age]]&lt;19,"17-18")</f>
        <v>15-16</v>
      </c>
      <c r="G558" s="2" t="s">
        <v>758</v>
      </c>
      <c r="H558" s="3">
        <v>0.76200000000000001</v>
      </c>
      <c r="I558" s="3">
        <v>0.77800000000000002</v>
      </c>
      <c r="J558" s="3" t="str" cm="1">
        <f t="array" ref="J558">_xlfn.IFS(Table1[[#This Row],[Overall Attendance]]&gt;=0.6,"Good",Table1[[#This Row],[Overall Attendance]]&lt;0.6,"Bad")</f>
        <v>Good</v>
      </c>
      <c r="K558" s="4">
        <v>189741</v>
      </c>
      <c r="L558" s="4">
        <f t="shared" si="16"/>
        <v>2276892</v>
      </c>
      <c r="M558" s="4" t="str" cm="1">
        <f t="array" ref="M55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58" s="2">
        <v>9</v>
      </c>
      <c r="O558" s="2" t="str" cm="1">
        <f t="array" ref="O558">_xlfn.IFS(Table1[[#This Row],[Distance to School (km)]]&gt;=5,"Far",Table1[[#This Row],[Distance to School (km)]]&lt;5,"Near")</f>
        <v>Far</v>
      </c>
      <c r="P558" s="5">
        <f t="shared" si="17"/>
        <v>0.22999999999999998</v>
      </c>
    </row>
    <row r="559" spans="1:16" ht="15" hidden="1" x14ac:dyDescent="0.25">
      <c r="A559" s="2" t="s">
        <v>564</v>
      </c>
      <c r="B559" s="2" t="s">
        <v>661</v>
      </c>
      <c r="C559" s="2" t="s">
        <v>709</v>
      </c>
      <c r="D559" s="2" t="s">
        <v>755</v>
      </c>
      <c r="E559" s="2">
        <v>16</v>
      </c>
      <c r="F559" s="2" t="str" cm="1">
        <f t="array" ref="F559">_xlfn.IFS(Table1[[#This Row],[Age]]&lt;=16,"15-16",Table1[[#This Row],[Age]]&lt;19,"17-18")</f>
        <v>15-16</v>
      </c>
      <c r="G559" s="2" t="s">
        <v>758</v>
      </c>
      <c r="H559" s="3">
        <v>0.50900000000000001</v>
      </c>
      <c r="I559" s="3">
        <v>0.92400000000000004</v>
      </c>
      <c r="J559" s="3" t="str" cm="1">
        <f t="array" ref="J559">_xlfn.IFS(Table1[[#This Row],[Overall Attendance]]&gt;=0.6,"Good",Table1[[#This Row],[Overall Attendance]]&lt;0.6,"Bad")</f>
        <v>Good</v>
      </c>
      <c r="K559" s="4">
        <v>31979</v>
      </c>
      <c r="L559" s="4">
        <f t="shared" si="16"/>
        <v>383748</v>
      </c>
      <c r="M559" s="4" t="str" cm="1">
        <f t="array" ref="M55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59" s="2">
        <v>6.9</v>
      </c>
      <c r="O559" s="2" t="str" cm="1">
        <f t="array" ref="O559">_xlfn.IFS(Table1[[#This Row],[Distance to School (km)]]&gt;=5,"Far",Table1[[#This Row],[Distance to School (km)]]&lt;5,"Near")</f>
        <v>Far</v>
      </c>
      <c r="P559" s="5">
        <f t="shared" si="17"/>
        <v>0.28349999999999997</v>
      </c>
    </row>
    <row r="560" spans="1:16" ht="15" x14ac:dyDescent="0.25">
      <c r="A560" s="2" t="s">
        <v>565</v>
      </c>
      <c r="B560" s="2" t="s">
        <v>668</v>
      </c>
      <c r="C560" s="2" t="s">
        <v>735</v>
      </c>
      <c r="D560" s="2" t="s">
        <v>712</v>
      </c>
      <c r="E560" s="2">
        <v>17</v>
      </c>
      <c r="F560" s="2" t="str" cm="1">
        <f t="array" ref="F560">_xlfn.IFS(Table1[[#This Row],[Age]]&lt;=16,"15-16",Table1[[#This Row],[Age]]&lt;19,"17-18")</f>
        <v>17-18</v>
      </c>
      <c r="G560" s="2" t="s">
        <v>757</v>
      </c>
      <c r="H560" s="3">
        <v>0.72400000000000009</v>
      </c>
      <c r="I560" s="3">
        <v>0.89500000000000002</v>
      </c>
      <c r="J560" s="3" t="str" cm="1">
        <f t="array" ref="J560">_xlfn.IFS(Table1[[#This Row],[Overall Attendance]]&gt;=0.6,"Good",Table1[[#This Row],[Overall Attendance]]&lt;0.6,"Bad")</f>
        <v>Good</v>
      </c>
      <c r="K560" s="4">
        <v>88019</v>
      </c>
      <c r="L560" s="4">
        <f t="shared" si="16"/>
        <v>1056228</v>
      </c>
      <c r="M560" s="4" t="str" cm="1">
        <f t="array" ref="M56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60" s="2">
        <v>4.2</v>
      </c>
      <c r="O560" s="2" t="str" cm="1">
        <f t="array" ref="O560">_xlfn.IFS(Table1[[#This Row],[Distance to School (km)]]&gt;=5,"Far",Table1[[#This Row],[Distance to School (km)]]&lt;5,"Near")</f>
        <v>Near</v>
      </c>
      <c r="P560" s="5">
        <f t="shared" si="17"/>
        <v>0.19049999999999989</v>
      </c>
    </row>
    <row r="561" spans="1:16" ht="15" x14ac:dyDescent="0.25">
      <c r="A561" s="2" t="s">
        <v>566</v>
      </c>
      <c r="B561" s="2" t="s">
        <v>649</v>
      </c>
      <c r="C561" s="2" t="s">
        <v>704</v>
      </c>
      <c r="D561" s="2" t="s">
        <v>742</v>
      </c>
      <c r="E561" s="2">
        <v>17</v>
      </c>
      <c r="F561" s="2" t="str" cm="1">
        <f t="array" ref="F561">_xlfn.IFS(Table1[[#This Row],[Age]]&lt;=16,"15-16",Table1[[#This Row],[Age]]&lt;19,"17-18")</f>
        <v>17-18</v>
      </c>
      <c r="G561" s="2" t="s">
        <v>758</v>
      </c>
      <c r="H561" s="3">
        <v>0.52800000000000002</v>
      </c>
      <c r="I561" s="3">
        <v>0.89900000000000002</v>
      </c>
      <c r="J561" s="3" t="str" cm="1">
        <f t="array" ref="J561">_xlfn.IFS(Table1[[#This Row],[Overall Attendance]]&gt;=0.6,"Good",Table1[[#This Row],[Overall Attendance]]&lt;0.6,"Bad")</f>
        <v>Good</v>
      </c>
      <c r="K561" s="4">
        <v>116084</v>
      </c>
      <c r="L561" s="4">
        <f t="shared" si="16"/>
        <v>1393008</v>
      </c>
      <c r="M561" s="4" t="str" cm="1">
        <f t="array" ref="M56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61" s="2">
        <v>5.7</v>
      </c>
      <c r="O561" s="2" t="str" cm="1">
        <f t="array" ref="O561">_xlfn.IFS(Table1[[#This Row],[Distance to School (km)]]&gt;=5,"Far",Table1[[#This Row],[Distance to School (km)]]&lt;5,"Near")</f>
        <v>Far</v>
      </c>
      <c r="P561" s="5">
        <f t="shared" si="17"/>
        <v>0.28649999999999998</v>
      </c>
    </row>
    <row r="562" spans="1:16" ht="15" hidden="1" x14ac:dyDescent="0.25">
      <c r="A562" s="2" t="s">
        <v>567</v>
      </c>
      <c r="B562" s="2" t="s">
        <v>664</v>
      </c>
      <c r="C562" s="2" t="s">
        <v>699</v>
      </c>
      <c r="D562" s="2" t="s">
        <v>742</v>
      </c>
      <c r="E562" s="2">
        <v>16</v>
      </c>
      <c r="F562" s="2" t="str" cm="1">
        <f t="array" ref="F562">_xlfn.IFS(Table1[[#This Row],[Age]]&lt;=16,"15-16",Table1[[#This Row],[Age]]&lt;19,"17-18")</f>
        <v>15-16</v>
      </c>
      <c r="G562" s="2" t="s">
        <v>757</v>
      </c>
      <c r="H562" s="3">
        <v>0.84499999999999997</v>
      </c>
      <c r="I562" s="3">
        <v>0.92299999999999993</v>
      </c>
      <c r="J562" s="3" t="str" cm="1">
        <f t="array" ref="J562">_xlfn.IFS(Table1[[#This Row],[Overall Attendance]]&gt;=0.6,"Good",Table1[[#This Row],[Overall Attendance]]&lt;0.6,"Bad")</f>
        <v>Good</v>
      </c>
      <c r="K562" s="4">
        <v>114335</v>
      </c>
      <c r="L562" s="4">
        <f t="shared" si="16"/>
        <v>1372020</v>
      </c>
      <c r="M562" s="4" t="str" cm="1">
        <f t="array" ref="M56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62" s="2">
        <v>1.8</v>
      </c>
      <c r="O562" s="2" t="str" cm="1">
        <f t="array" ref="O562">_xlfn.IFS(Table1[[#This Row],[Distance to School (km)]]&gt;=5,"Far",Table1[[#This Row],[Distance to School (km)]]&lt;5,"Near")</f>
        <v>Near</v>
      </c>
      <c r="P562" s="5">
        <f t="shared" si="17"/>
        <v>0.1160000000000001</v>
      </c>
    </row>
    <row r="563" spans="1:16" ht="15" x14ac:dyDescent="0.25">
      <c r="A563" s="2" t="s">
        <v>568</v>
      </c>
      <c r="B563" s="2" t="s">
        <v>659</v>
      </c>
      <c r="C563" s="2" t="s">
        <v>706</v>
      </c>
      <c r="D563" s="2" t="s">
        <v>756</v>
      </c>
      <c r="E563" s="2">
        <v>18</v>
      </c>
      <c r="F563" s="2" t="str" cm="1">
        <f t="array" ref="F563">_xlfn.IFS(Table1[[#This Row],[Age]]&lt;=16,"15-16",Table1[[#This Row],[Age]]&lt;19,"17-18")</f>
        <v>17-18</v>
      </c>
      <c r="G563" s="2" t="s">
        <v>758</v>
      </c>
      <c r="H563" s="3">
        <v>0.64500000000000002</v>
      </c>
      <c r="I563" s="3">
        <v>0.81400000000000006</v>
      </c>
      <c r="J563" s="3" t="str" cm="1">
        <f t="array" ref="J563">_xlfn.IFS(Table1[[#This Row],[Overall Attendance]]&gt;=0.6,"Good",Table1[[#This Row],[Overall Attendance]]&lt;0.6,"Bad")</f>
        <v>Good</v>
      </c>
      <c r="K563" s="4">
        <v>234611</v>
      </c>
      <c r="L563" s="4">
        <f t="shared" si="16"/>
        <v>2815332</v>
      </c>
      <c r="M563" s="4" t="str" cm="1">
        <f t="array" ref="M56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63" s="2">
        <v>4.5</v>
      </c>
      <c r="O563" s="2" t="str" cm="1">
        <f t="array" ref="O563">_xlfn.IFS(Table1[[#This Row],[Distance to School (km)]]&gt;=5,"Far",Table1[[#This Row],[Distance to School (km)]]&lt;5,"Near")</f>
        <v>Near</v>
      </c>
      <c r="P563" s="5">
        <f t="shared" si="17"/>
        <v>0.27049999999999996</v>
      </c>
    </row>
    <row r="564" spans="1:16" ht="15" x14ac:dyDescent="0.25">
      <c r="A564" s="2" t="s">
        <v>569</v>
      </c>
      <c r="B564" s="2" t="s">
        <v>655</v>
      </c>
      <c r="C564" s="2" t="s">
        <v>710</v>
      </c>
      <c r="D564" s="2" t="s">
        <v>742</v>
      </c>
      <c r="E564" s="2">
        <v>17</v>
      </c>
      <c r="F564" s="2" t="str" cm="1">
        <f t="array" ref="F564">_xlfn.IFS(Table1[[#This Row],[Age]]&lt;=16,"15-16",Table1[[#This Row],[Age]]&lt;19,"17-18")</f>
        <v>17-18</v>
      </c>
      <c r="G564" s="2" t="s">
        <v>757</v>
      </c>
      <c r="H564" s="3">
        <v>0.83400000000000007</v>
      </c>
      <c r="I564" s="3">
        <v>0.84499999999999997</v>
      </c>
      <c r="J564" s="3" t="str" cm="1">
        <f t="array" ref="J564">_xlfn.IFS(Table1[[#This Row],[Overall Attendance]]&gt;=0.6,"Good",Table1[[#This Row],[Overall Attendance]]&lt;0.6,"Bad")</f>
        <v>Good</v>
      </c>
      <c r="K564" s="4">
        <v>288049</v>
      </c>
      <c r="L564" s="4">
        <f t="shared" si="16"/>
        <v>3456588</v>
      </c>
      <c r="M564" s="4" t="str" cm="1">
        <f t="array" ref="M56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64" s="2">
        <v>7.2</v>
      </c>
      <c r="O564" s="2" t="str" cm="1">
        <f t="array" ref="O564">_xlfn.IFS(Table1[[#This Row],[Distance to School (km)]]&gt;=5,"Far",Table1[[#This Row],[Distance to School (km)]]&lt;5,"Near")</f>
        <v>Far</v>
      </c>
      <c r="P564" s="5">
        <f t="shared" si="17"/>
        <v>0.16049999999999998</v>
      </c>
    </row>
    <row r="565" spans="1:16" ht="15" x14ac:dyDescent="0.25">
      <c r="A565" s="2" t="s">
        <v>570</v>
      </c>
      <c r="B565" s="2" t="s">
        <v>663</v>
      </c>
      <c r="C565" s="2" t="s">
        <v>734</v>
      </c>
      <c r="D565" s="2" t="s">
        <v>646</v>
      </c>
      <c r="E565" s="2">
        <v>17</v>
      </c>
      <c r="F565" s="2" t="str" cm="1">
        <f t="array" ref="F565">_xlfn.IFS(Table1[[#This Row],[Age]]&lt;=16,"15-16",Table1[[#This Row],[Age]]&lt;19,"17-18")</f>
        <v>17-18</v>
      </c>
      <c r="G565" s="2" t="s">
        <v>758</v>
      </c>
      <c r="H565" s="3">
        <v>0.47100000000000003</v>
      </c>
      <c r="I565" s="3">
        <v>0.79599999999999993</v>
      </c>
      <c r="J565" s="3" t="str" cm="1">
        <f t="array" ref="J565">_xlfn.IFS(Table1[[#This Row],[Overall Attendance]]&gt;=0.6,"Good",Table1[[#This Row],[Overall Attendance]]&lt;0.6,"Bad")</f>
        <v>Good</v>
      </c>
      <c r="K565" s="4">
        <v>174351</v>
      </c>
      <c r="L565" s="4">
        <f t="shared" si="16"/>
        <v>2092212</v>
      </c>
      <c r="M565" s="4" t="str" cm="1">
        <f t="array" ref="M56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65" s="2">
        <v>2.5</v>
      </c>
      <c r="O565" s="2" t="str" cm="1">
        <f t="array" ref="O565">_xlfn.IFS(Table1[[#This Row],[Distance to School (km)]]&gt;=5,"Far",Table1[[#This Row],[Distance to School (km)]]&lt;5,"Near")</f>
        <v>Near</v>
      </c>
      <c r="P565" s="5">
        <f t="shared" si="17"/>
        <v>0.36650000000000005</v>
      </c>
    </row>
    <row r="566" spans="1:16" ht="15" x14ac:dyDescent="0.25">
      <c r="A566" s="2" t="s">
        <v>571</v>
      </c>
      <c r="B566" s="2" t="s">
        <v>651</v>
      </c>
      <c r="C566" s="2" t="s">
        <v>646</v>
      </c>
      <c r="D566" s="2" t="s">
        <v>748</v>
      </c>
      <c r="E566" s="2">
        <v>17</v>
      </c>
      <c r="F566" s="2" t="str" cm="1">
        <f t="array" ref="F566">_xlfn.IFS(Table1[[#This Row],[Age]]&lt;=16,"15-16",Table1[[#This Row],[Age]]&lt;19,"17-18")</f>
        <v>17-18</v>
      </c>
      <c r="G566" s="2" t="s">
        <v>757</v>
      </c>
      <c r="H566" s="3">
        <v>0.625</v>
      </c>
      <c r="I566" s="3">
        <v>0.78900000000000003</v>
      </c>
      <c r="J566" s="3" t="str" cm="1">
        <f t="array" ref="J566">_xlfn.IFS(Table1[[#This Row],[Overall Attendance]]&gt;=0.6,"Good",Table1[[#This Row],[Overall Attendance]]&lt;0.6,"Bad")</f>
        <v>Good</v>
      </c>
      <c r="K566" s="4">
        <v>68638</v>
      </c>
      <c r="L566" s="4">
        <f t="shared" si="16"/>
        <v>823656</v>
      </c>
      <c r="M566" s="4" t="str" cm="1">
        <f t="array" ref="M56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66" s="2">
        <v>8.6999999999999993</v>
      </c>
      <c r="O566" s="2" t="str" cm="1">
        <f t="array" ref="O566">_xlfn.IFS(Table1[[#This Row],[Distance to School (km)]]&gt;=5,"Far",Table1[[#This Row],[Distance to School (km)]]&lt;5,"Near")</f>
        <v>Far</v>
      </c>
      <c r="P566" s="5">
        <f t="shared" si="17"/>
        <v>0.29299999999999993</v>
      </c>
    </row>
    <row r="567" spans="1:16" ht="15" hidden="1" x14ac:dyDescent="0.25">
      <c r="A567" s="2" t="s">
        <v>572</v>
      </c>
      <c r="B567" s="2" t="s">
        <v>663</v>
      </c>
      <c r="C567" s="2" t="s">
        <v>701</v>
      </c>
      <c r="D567" s="2" t="s">
        <v>751</v>
      </c>
      <c r="E567" s="2">
        <v>16</v>
      </c>
      <c r="F567" s="2" t="str" cm="1">
        <f t="array" ref="F567">_xlfn.IFS(Table1[[#This Row],[Age]]&lt;=16,"15-16",Table1[[#This Row],[Age]]&lt;19,"17-18")</f>
        <v>15-16</v>
      </c>
      <c r="G567" s="2" t="s">
        <v>757</v>
      </c>
      <c r="H567" s="3">
        <v>0.65200000000000002</v>
      </c>
      <c r="I567" s="3">
        <v>0.86199999999999999</v>
      </c>
      <c r="J567" s="3" t="str" cm="1">
        <f t="array" ref="J567">_xlfn.IFS(Table1[[#This Row],[Overall Attendance]]&gt;=0.6,"Good",Table1[[#This Row],[Overall Attendance]]&lt;0.6,"Bad")</f>
        <v>Good</v>
      </c>
      <c r="K567" s="4">
        <v>116578</v>
      </c>
      <c r="L567" s="4">
        <f t="shared" si="16"/>
        <v>1398936</v>
      </c>
      <c r="M567" s="4" t="str" cm="1">
        <f t="array" ref="M56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67" s="2">
        <v>4.8</v>
      </c>
      <c r="O567" s="2" t="str" cm="1">
        <f t="array" ref="O567">_xlfn.IFS(Table1[[#This Row],[Distance to School (km)]]&gt;=5,"Far",Table1[[#This Row],[Distance to School (km)]]&lt;5,"Near")</f>
        <v>Near</v>
      </c>
      <c r="P567" s="5">
        <f t="shared" si="17"/>
        <v>0.24299999999999999</v>
      </c>
    </row>
    <row r="568" spans="1:16" ht="15" x14ac:dyDescent="0.25">
      <c r="A568" s="2" t="s">
        <v>573</v>
      </c>
      <c r="B568" s="2" t="s">
        <v>667</v>
      </c>
      <c r="C568" s="2" t="s">
        <v>672</v>
      </c>
      <c r="D568" s="2" t="s">
        <v>749</v>
      </c>
      <c r="E568" s="2">
        <v>18</v>
      </c>
      <c r="F568" s="2" t="str" cm="1">
        <f t="array" ref="F568">_xlfn.IFS(Table1[[#This Row],[Age]]&lt;=16,"15-16",Table1[[#This Row],[Age]]&lt;19,"17-18")</f>
        <v>17-18</v>
      </c>
      <c r="G568" s="2" t="s">
        <v>757</v>
      </c>
      <c r="H568" s="3">
        <v>0.69799999999999995</v>
      </c>
      <c r="I568" s="3">
        <v>0.90700000000000003</v>
      </c>
      <c r="J568" s="3" t="str" cm="1">
        <f t="array" ref="J568">_xlfn.IFS(Table1[[#This Row],[Overall Attendance]]&gt;=0.6,"Good",Table1[[#This Row],[Overall Attendance]]&lt;0.6,"Bad")</f>
        <v>Good</v>
      </c>
      <c r="K568" s="4">
        <v>25327</v>
      </c>
      <c r="L568" s="4">
        <f t="shared" si="16"/>
        <v>303924</v>
      </c>
      <c r="M568" s="4" t="str" cm="1">
        <f t="array" ref="M56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68" s="2">
        <v>5.2</v>
      </c>
      <c r="O568" s="2" t="str" cm="1">
        <f t="array" ref="O568">_xlfn.IFS(Table1[[#This Row],[Distance to School (km)]]&gt;=5,"Far",Table1[[#This Row],[Distance to School (km)]]&lt;5,"Near")</f>
        <v>Far</v>
      </c>
      <c r="P568" s="5">
        <f t="shared" si="17"/>
        <v>0.19750000000000001</v>
      </c>
    </row>
    <row r="569" spans="1:16" ht="15" x14ac:dyDescent="0.25">
      <c r="A569" s="2" t="s">
        <v>574</v>
      </c>
      <c r="B569" s="2" t="s">
        <v>667</v>
      </c>
      <c r="C569" s="2" t="s">
        <v>690</v>
      </c>
      <c r="D569" s="2" t="s">
        <v>751</v>
      </c>
      <c r="E569" s="2">
        <v>17</v>
      </c>
      <c r="F569" s="2" t="str" cm="1">
        <f t="array" ref="F569">_xlfn.IFS(Table1[[#This Row],[Age]]&lt;=16,"15-16",Table1[[#This Row],[Age]]&lt;19,"17-18")</f>
        <v>17-18</v>
      </c>
      <c r="G569" s="2" t="s">
        <v>757</v>
      </c>
      <c r="H569" s="3">
        <v>0.81599999999999995</v>
      </c>
      <c r="I569" s="3">
        <v>0.82400000000000007</v>
      </c>
      <c r="J569" s="3" t="str" cm="1">
        <f t="array" ref="J569">_xlfn.IFS(Table1[[#This Row],[Overall Attendance]]&gt;=0.6,"Good",Table1[[#This Row],[Overall Attendance]]&lt;0.6,"Bad")</f>
        <v>Good</v>
      </c>
      <c r="K569" s="4">
        <v>184836</v>
      </c>
      <c r="L569" s="4">
        <f t="shared" si="16"/>
        <v>2218032</v>
      </c>
      <c r="M569" s="4" t="str" cm="1">
        <f t="array" ref="M56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69" s="2">
        <v>5.9</v>
      </c>
      <c r="O569" s="2" t="str" cm="1">
        <f t="array" ref="O569">_xlfn.IFS(Table1[[#This Row],[Distance to School (km)]]&gt;=5,"Far",Table1[[#This Row],[Distance to School (km)]]&lt;5,"Near")</f>
        <v>Far</v>
      </c>
      <c r="P569" s="5">
        <f t="shared" si="17"/>
        <v>0.17999999999999994</v>
      </c>
    </row>
    <row r="570" spans="1:16" ht="15" hidden="1" x14ac:dyDescent="0.25">
      <c r="A570" s="2" t="s">
        <v>575</v>
      </c>
      <c r="B570" s="2" t="s">
        <v>675</v>
      </c>
      <c r="C570" s="2" t="s">
        <v>732</v>
      </c>
      <c r="D570" s="2" t="s">
        <v>738</v>
      </c>
      <c r="E570" s="2">
        <v>15</v>
      </c>
      <c r="F570" s="2" t="str" cm="1">
        <f t="array" ref="F570">_xlfn.IFS(Table1[[#This Row],[Age]]&lt;=16,"15-16",Table1[[#This Row],[Age]]&lt;19,"17-18")</f>
        <v>15-16</v>
      </c>
      <c r="G570" s="2" t="s">
        <v>757</v>
      </c>
      <c r="H570" s="3">
        <v>0.72799999999999998</v>
      </c>
      <c r="I570" s="3">
        <v>0.76</v>
      </c>
      <c r="J570" s="3" t="str" cm="1">
        <f t="array" ref="J570">_xlfn.IFS(Table1[[#This Row],[Overall Attendance]]&gt;=0.6,"Good",Table1[[#This Row],[Overall Attendance]]&lt;0.6,"Bad")</f>
        <v>Good</v>
      </c>
      <c r="K570" s="4">
        <v>42581</v>
      </c>
      <c r="L570" s="4">
        <f t="shared" si="16"/>
        <v>510972</v>
      </c>
      <c r="M570" s="4" t="str" cm="1">
        <f t="array" ref="M57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70" s="2">
        <v>2.1</v>
      </c>
      <c r="O570" s="2" t="str" cm="1">
        <f t="array" ref="O570">_xlfn.IFS(Table1[[#This Row],[Distance to School (km)]]&gt;=5,"Far",Table1[[#This Row],[Distance to School (km)]]&lt;5,"Near")</f>
        <v>Near</v>
      </c>
      <c r="P570" s="5">
        <f t="shared" si="17"/>
        <v>0.25600000000000001</v>
      </c>
    </row>
    <row r="571" spans="1:16" ht="15" hidden="1" x14ac:dyDescent="0.25">
      <c r="A571" s="2" t="s">
        <v>576</v>
      </c>
      <c r="B571" s="2" t="s">
        <v>673</v>
      </c>
      <c r="C571" s="2" t="s">
        <v>725</v>
      </c>
      <c r="D571" s="2" t="s">
        <v>737</v>
      </c>
      <c r="E571" s="2">
        <v>16</v>
      </c>
      <c r="F571" s="2" t="str" cm="1">
        <f t="array" ref="F571">_xlfn.IFS(Table1[[#This Row],[Age]]&lt;=16,"15-16",Table1[[#This Row],[Age]]&lt;19,"17-18")</f>
        <v>15-16</v>
      </c>
      <c r="G571" s="2" t="s">
        <v>758</v>
      </c>
      <c r="H571" s="3">
        <v>0.69</v>
      </c>
      <c r="I571" s="3">
        <v>0.72900000000000009</v>
      </c>
      <c r="J571" s="3" t="str" cm="1">
        <f t="array" ref="J571">_xlfn.IFS(Table1[[#This Row],[Overall Attendance]]&gt;=0.6,"Good",Table1[[#This Row],[Overall Attendance]]&lt;0.6,"Bad")</f>
        <v>Good</v>
      </c>
      <c r="K571" s="4">
        <v>71389</v>
      </c>
      <c r="L571" s="4">
        <f t="shared" si="16"/>
        <v>856668</v>
      </c>
      <c r="M571" s="4" t="str" cm="1">
        <f t="array" ref="M57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71" s="2">
        <v>7.2</v>
      </c>
      <c r="O571" s="2" t="str" cm="1">
        <f t="array" ref="O571">_xlfn.IFS(Table1[[#This Row],[Distance to School (km)]]&gt;=5,"Far",Table1[[#This Row],[Distance to School (km)]]&lt;5,"Near")</f>
        <v>Far</v>
      </c>
      <c r="P571" s="5">
        <f t="shared" si="17"/>
        <v>0.29049999999999998</v>
      </c>
    </row>
    <row r="572" spans="1:16" ht="15" hidden="1" x14ac:dyDescent="0.25">
      <c r="A572" s="2" t="s">
        <v>577</v>
      </c>
      <c r="B572" s="2" t="s">
        <v>671</v>
      </c>
      <c r="C572" s="2" t="s">
        <v>724</v>
      </c>
      <c r="D572" s="2" t="s">
        <v>742</v>
      </c>
      <c r="E572" s="2">
        <v>15</v>
      </c>
      <c r="F572" s="2" t="str" cm="1">
        <f t="array" ref="F572">_xlfn.IFS(Table1[[#This Row],[Age]]&lt;=16,"15-16",Table1[[#This Row],[Age]]&lt;19,"17-18")</f>
        <v>15-16</v>
      </c>
      <c r="G572" s="2" t="s">
        <v>758</v>
      </c>
      <c r="H572" s="3">
        <v>0.49299999999999999</v>
      </c>
      <c r="I572" s="3">
        <v>0.79400000000000004</v>
      </c>
      <c r="J572" s="3" t="str" cm="1">
        <f t="array" ref="J572">_xlfn.IFS(Table1[[#This Row],[Overall Attendance]]&gt;=0.6,"Good",Table1[[#This Row],[Overall Attendance]]&lt;0.6,"Bad")</f>
        <v>Good</v>
      </c>
      <c r="K572" s="4">
        <v>55727</v>
      </c>
      <c r="L572" s="4">
        <f t="shared" si="16"/>
        <v>668724</v>
      </c>
      <c r="M572" s="4" t="str" cm="1">
        <f t="array" ref="M57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72" s="2">
        <v>6.1</v>
      </c>
      <c r="O572" s="2" t="str" cm="1">
        <f t="array" ref="O572">_xlfn.IFS(Table1[[#This Row],[Distance to School (km)]]&gt;=5,"Far",Table1[[#This Row],[Distance to School (km)]]&lt;5,"Near")</f>
        <v>Far</v>
      </c>
      <c r="P572" s="5">
        <f t="shared" si="17"/>
        <v>0.35650000000000004</v>
      </c>
    </row>
    <row r="573" spans="1:16" ht="15" x14ac:dyDescent="0.25">
      <c r="A573" s="2" t="s">
        <v>578</v>
      </c>
      <c r="B573" s="2" t="s">
        <v>662</v>
      </c>
      <c r="C573" s="2" t="s">
        <v>691</v>
      </c>
      <c r="D573" s="2" t="s">
        <v>646</v>
      </c>
      <c r="E573" s="2">
        <v>18</v>
      </c>
      <c r="F573" s="2" t="str" cm="1">
        <f t="array" ref="F573">_xlfn.IFS(Table1[[#This Row],[Age]]&lt;=16,"15-16",Table1[[#This Row],[Age]]&lt;19,"17-18")</f>
        <v>17-18</v>
      </c>
      <c r="G573" s="2" t="s">
        <v>758</v>
      </c>
      <c r="H573" s="3">
        <v>0.69</v>
      </c>
      <c r="I573" s="3">
        <v>0.74400000000000011</v>
      </c>
      <c r="J573" s="3" t="str" cm="1">
        <f t="array" ref="J573">_xlfn.IFS(Table1[[#This Row],[Overall Attendance]]&gt;=0.6,"Good",Table1[[#This Row],[Overall Attendance]]&lt;0.6,"Bad")</f>
        <v>Good</v>
      </c>
      <c r="K573" s="4">
        <v>137310</v>
      </c>
      <c r="L573" s="4">
        <f t="shared" si="16"/>
        <v>1647720</v>
      </c>
      <c r="M573" s="4" t="str" cm="1">
        <f t="array" ref="M57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73" s="2">
        <v>4</v>
      </c>
      <c r="O573" s="2" t="str" cm="1">
        <f t="array" ref="O573">_xlfn.IFS(Table1[[#This Row],[Distance to School (km)]]&gt;=5,"Far",Table1[[#This Row],[Distance to School (km)]]&lt;5,"Near")</f>
        <v>Near</v>
      </c>
      <c r="P573" s="5">
        <f t="shared" si="17"/>
        <v>0.28299999999999992</v>
      </c>
    </row>
    <row r="574" spans="1:16" ht="15" hidden="1" x14ac:dyDescent="0.25">
      <c r="A574" s="2" t="s">
        <v>579</v>
      </c>
      <c r="B574" s="2" t="s">
        <v>674</v>
      </c>
      <c r="C574" s="2" t="s">
        <v>699</v>
      </c>
      <c r="D574" s="2" t="s">
        <v>738</v>
      </c>
      <c r="E574" s="2">
        <v>15</v>
      </c>
      <c r="F574" s="2" t="str" cm="1">
        <f t="array" ref="F574">_xlfn.IFS(Table1[[#This Row],[Age]]&lt;=16,"15-16",Table1[[#This Row],[Age]]&lt;19,"17-18")</f>
        <v>15-16</v>
      </c>
      <c r="G574" s="2" t="s">
        <v>757</v>
      </c>
      <c r="H574" s="3">
        <v>0.83599999999999997</v>
      </c>
      <c r="I574" s="3">
        <v>0.81200000000000006</v>
      </c>
      <c r="J574" s="3" t="str" cm="1">
        <f t="array" ref="J574">_xlfn.IFS(Table1[[#This Row],[Overall Attendance]]&gt;=0.6,"Good",Table1[[#This Row],[Overall Attendance]]&lt;0.6,"Bad")</f>
        <v>Good</v>
      </c>
      <c r="K574" s="4">
        <v>311106</v>
      </c>
      <c r="L574" s="4">
        <f t="shared" si="16"/>
        <v>3733272</v>
      </c>
      <c r="M574" s="4" t="str" cm="1">
        <f t="array" ref="M57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74" s="2">
        <v>2.1</v>
      </c>
      <c r="O574" s="2" t="str" cm="1">
        <f t="array" ref="O574">_xlfn.IFS(Table1[[#This Row],[Distance to School (km)]]&gt;=5,"Far",Table1[[#This Row],[Distance to School (km)]]&lt;5,"Near")</f>
        <v>Near</v>
      </c>
      <c r="P574" s="5">
        <f t="shared" si="17"/>
        <v>0.17599999999999993</v>
      </c>
    </row>
    <row r="575" spans="1:16" ht="15" x14ac:dyDescent="0.25">
      <c r="A575" s="2" t="s">
        <v>580</v>
      </c>
      <c r="B575" s="2" t="s">
        <v>676</v>
      </c>
      <c r="C575" s="2" t="s">
        <v>699</v>
      </c>
      <c r="D575" s="2" t="s">
        <v>753</v>
      </c>
      <c r="E575" s="2">
        <v>18</v>
      </c>
      <c r="F575" s="2" t="str" cm="1">
        <f t="array" ref="F575">_xlfn.IFS(Table1[[#This Row],[Age]]&lt;=16,"15-16",Table1[[#This Row],[Age]]&lt;19,"17-18")</f>
        <v>17-18</v>
      </c>
      <c r="G575" s="2" t="s">
        <v>757</v>
      </c>
      <c r="H575" s="3">
        <v>0.7659999999999999</v>
      </c>
      <c r="I575" s="3">
        <v>0.81099999999999994</v>
      </c>
      <c r="J575" s="3" t="str" cm="1">
        <f t="array" ref="J575">_xlfn.IFS(Table1[[#This Row],[Overall Attendance]]&gt;=0.6,"Good",Table1[[#This Row],[Overall Attendance]]&lt;0.6,"Bad")</f>
        <v>Good</v>
      </c>
      <c r="K575" s="4">
        <v>398211</v>
      </c>
      <c r="L575" s="4">
        <f t="shared" si="16"/>
        <v>4778532</v>
      </c>
      <c r="M575" s="4" t="str" cm="1">
        <f t="array" ref="M57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75" s="2">
        <v>1.5</v>
      </c>
      <c r="O575" s="2" t="str" cm="1">
        <f t="array" ref="O575">_xlfn.IFS(Table1[[#This Row],[Distance to School (km)]]&gt;=5,"Far",Table1[[#This Row],[Distance to School (km)]]&lt;5,"Near")</f>
        <v>Near</v>
      </c>
      <c r="P575" s="5">
        <f t="shared" si="17"/>
        <v>0.21150000000000002</v>
      </c>
    </row>
    <row r="576" spans="1:16" ht="15" x14ac:dyDescent="0.25">
      <c r="A576" s="2" t="s">
        <v>581</v>
      </c>
      <c r="B576" s="2" t="s">
        <v>684</v>
      </c>
      <c r="C576" s="2" t="s">
        <v>698</v>
      </c>
      <c r="D576" s="2" t="s">
        <v>712</v>
      </c>
      <c r="E576" s="2">
        <v>18</v>
      </c>
      <c r="F576" s="2" t="str" cm="1">
        <f t="array" ref="F576">_xlfn.IFS(Table1[[#This Row],[Age]]&lt;=16,"15-16",Table1[[#This Row],[Age]]&lt;19,"17-18")</f>
        <v>17-18</v>
      </c>
      <c r="G576" s="2" t="s">
        <v>758</v>
      </c>
      <c r="H576" s="3">
        <v>0.46899999999999997</v>
      </c>
      <c r="I576" s="3">
        <v>0.85099999999999998</v>
      </c>
      <c r="J576" s="3" t="str" cm="1">
        <f t="array" ref="J576">_xlfn.IFS(Table1[[#This Row],[Overall Attendance]]&gt;=0.6,"Good",Table1[[#This Row],[Overall Attendance]]&lt;0.6,"Bad")</f>
        <v>Good</v>
      </c>
      <c r="K576" s="4">
        <v>248761</v>
      </c>
      <c r="L576" s="4">
        <f t="shared" si="16"/>
        <v>2985132</v>
      </c>
      <c r="M576" s="4" t="str" cm="1">
        <f t="array" ref="M57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76" s="2">
        <v>3.8</v>
      </c>
      <c r="O576" s="2" t="str" cm="1">
        <f t="array" ref="O576">_xlfn.IFS(Table1[[#This Row],[Distance to School (km)]]&gt;=5,"Far",Table1[[#This Row],[Distance to School (km)]]&lt;5,"Near")</f>
        <v>Near</v>
      </c>
      <c r="P576" s="5">
        <f t="shared" si="17"/>
        <v>0.34000000000000008</v>
      </c>
    </row>
    <row r="577" spans="1:16" ht="15" x14ac:dyDescent="0.25">
      <c r="A577" s="2" t="s">
        <v>582</v>
      </c>
      <c r="B577" s="2" t="s">
        <v>676</v>
      </c>
      <c r="C577" s="2" t="s">
        <v>708</v>
      </c>
      <c r="D577" s="2" t="s">
        <v>747</v>
      </c>
      <c r="E577" s="2">
        <v>18</v>
      </c>
      <c r="F577" s="2" t="str" cm="1">
        <f t="array" ref="F577">_xlfn.IFS(Table1[[#This Row],[Age]]&lt;=16,"15-16",Table1[[#This Row],[Age]]&lt;19,"17-18")</f>
        <v>17-18</v>
      </c>
      <c r="G577" s="2" t="s">
        <v>757</v>
      </c>
      <c r="H577" s="3">
        <v>0.56899999999999995</v>
      </c>
      <c r="I577" s="3">
        <v>0.94099999999999995</v>
      </c>
      <c r="J577" s="3" t="str" cm="1">
        <f t="array" ref="J577">_xlfn.IFS(Table1[[#This Row],[Overall Attendance]]&gt;=0.6,"Good",Table1[[#This Row],[Overall Attendance]]&lt;0.6,"Bad")</f>
        <v>Good</v>
      </c>
      <c r="K577" s="4">
        <v>64715</v>
      </c>
      <c r="L577" s="4">
        <f t="shared" si="16"/>
        <v>776580</v>
      </c>
      <c r="M577" s="4" t="str" cm="1">
        <f t="array" ref="M57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77" s="2">
        <v>3.5</v>
      </c>
      <c r="O577" s="2" t="str" cm="1">
        <f t="array" ref="O577">_xlfn.IFS(Table1[[#This Row],[Distance to School (km)]]&gt;=5,"Far",Table1[[#This Row],[Distance to School (km)]]&lt;5,"Near")</f>
        <v>Near</v>
      </c>
      <c r="P577" s="5">
        <f t="shared" si="17"/>
        <v>0.24500000000000011</v>
      </c>
    </row>
    <row r="578" spans="1:16" ht="15" x14ac:dyDescent="0.25">
      <c r="A578" s="2" t="s">
        <v>583</v>
      </c>
      <c r="B578" s="2" t="s">
        <v>663</v>
      </c>
      <c r="C578" s="2" t="s">
        <v>700</v>
      </c>
      <c r="D578" s="2" t="s">
        <v>748</v>
      </c>
      <c r="E578" s="2">
        <v>18</v>
      </c>
      <c r="F578" s="2" t="str" cm="1">
        <f t="array" ref="F578">_xlfn.IFS(Table1[[#This Row],[Age]]&lt;=16,"15-16",Table1[[#This Row],[Age]]&lt;19,"17-18")</f>
        <v>17-18</v>
      </c>
      <c r="G578" s="2" t="s">
        <v>757</v>
      </c>
      <c r="H578" s="3">
        <v>0.499</v>
      </c>
      <c r="I578" s="3">
        <v>0.878</v>
      </c>
      <c r="J578" s="3" t="str" cm="1">
        <f t="array" ref="J578">_xlfn.IFS(Table1[[#This Row],[Overall Attendance]]&gt;=0.6,"Good",Table1[[#This Row],[Overall Attendance]]&lt;0.6,"Bad")</f>
        <v>Good</v>
      </c>
      <c r="K578" s="4">
        <v>42539</v>
      </c>
      <c r="L578" s="4">
        <f t="shared" si="16"/>
        <v>510468</v>
      </c>
      <c r="M578" s="4" t="str" cm="1">
        <f t="array" ref="M57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78" s="2">
        <v>9.3000000000000007</v>
      </c>
      <c r="O578" s="2" t="str" cm="1">
        <f t="array" ref="O578">_xlfn.IFS(Table1[[#This Row],[Distance to School (km)]]&gt;=5,"Far",Table1[[#This Row],[Distance to School (km)]]&lt;5,"Near")</f>
        <v>Far</v>
      </c>
      <c r="P578" s="5">
        <f t="shared" si="17"/>
        <v>0.3115</v>
      </c>
    </row>
    <row r="579" spans="1:16" ht="15" hidden="1" x14ac:dyDescent="0.25">
      <c r="A579" s="2" t="s">
        <v>584</v>
      </c>
      <c r="B579" s="2" t="s">
        <v>651</v>
      </c>
      <c r="C579" s="2" t="s">
        <v>651</v>
      </c>
      <c r="D579" s="2" t="s">
        <v>747</v>
      </c>
      <c r="E579" s="2">
        <v>15</v>
      </c>
      <c r="F579" s="2" t="str" cm="1">
        <f t="array" ref="F579">_xlfn.IFS(Table1[[#This Row],[Age]]&lt;=16,"15-16",Table1[[#This Row],[Age]]&lt;19,"17-18")</f>
        <v>15-16</v>
      </c>
      <c r="G579" s="2" t="s">
        <v>757</v>
      </c>
      <c r="H579" s="3">
        <v>0.49299999999999999</v>
      </c>
      <c r="I579" s="3">
        <v>0.83299999999999996</v>
      </c>
      <c r="J579" s="3" t="str" cm="1">
        <f t="array" ref="J579">_xlfn.IFS(Table1[[#This Row],[Overall Attendance]]&gt;=0.6,"Good",Table1[[#This Row],[Overall Attendance]]&lt;0.6,"Bad")</f>
        <v>Good</v>
      </c>
      <c r="K579" s="4">
        <v>28451</v>
      </c>
      <c r="L579" s="4">
        <f t="shared" ref="L579:L635" si="18">K579*12</f>
        <v>341412</v>
      </c>
      <c r="M579" s="4" t="str" cm="1">
        <f t="array" ref="M57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79" s="2">
        <v>4.8</v>
      </c>
      <c r="O579" s="2" t="str" cm="1">
        <f t="array" ref="O579">_xlfn.IFS(Table1[[#This Row],[Distance to School (km)]]&gt;=5,"Far",Table1[[#This Row],[Distance to School (km)]]&lt;5,"Near")</f>
        <v>Near</v>
      </c>
      <c r="P579" s="5">
        <f t="shared" ref="P579:P635" si="19">100%-AVERAGE(H579:I579)</f>
        <v>0.33699999999999997</v>
      </c>
    </row>
    <row r="580" spans="1:16" ht="15" x14ac:dyDescent="0.25">
      <c r="A580" s="2" t="s">
        <v>585</v>
      </c>
      <c r="B580" s="2" t="s">
        <v>657</v>
      </c>
      <c r="C580" s="2" t="s">
        <v>717</v>
      </c>
      <c r="D580" s="2" t="s">
        <v>745</v>
      </c>
      <c r="E580" s="2">
        <v>18</v>
      </c>
      <c r="F580" s="2" t="str" cm="1">
        <f t="array" ref="F580">_xlfn.IFS(Table1[[#This Row],[Age]]&lt;=16,"15-16",Table1[[#This Row],[Age]]&lt;19,"17-18")</f>
        <v>17-18</v>
      </c>
      <c r="G580" s="2" t="s">
        <v>758</v>
      </c>
      <c r="H580" s="3">
        <v>0.70099999999999996</v>
      </c>
      <c r="I580" s="3">
        <v>0.90799999999999992</v>
      </c>
      <c r="J580" s="3" t="str" cm="1">
        <f t="array" ref="J580">_xlfn.IFS(Table1[[#This Row],[Overall Attendance]]&gt;=0.6,"Good",Table1[[#This Row],[Overall Attendance]]&lt;0.6,"Bad")</f>
        <v>Good</v>
      </c>
      <c r="K580" s="4">
        <v>42717</v>
      </c>
      <c r="L580" s="4">
        <f t="shared" si="18"/>
        <v>512604</v>
      </c>
      <c r="M580" s="4" t="str" cm="1">
        <f t="array" ref="M58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80" s="2">
        <v>3.6</v>
      </c>
      <c r="O580" s="2" t="str" cm="1">
        <f t="array" ref="O580">_xlfn.IFS(Table1[[#This Row],[Distance to School (km)]]&gt;=5,"Far",Table1[[#This Row],[Distance to School (km)]]&lt;5,"Near")</f>
        <v>Near</v>
      </c>
      <c r="P580" s="5">
        <f t="shared" si="19"/>
        <v>0.19550000000000001</v>
      </c>
    </row>
    <row r="581" spans="1:16" ht="15" hidden="1" x14ac:dyDescent="0.25">
      <c r="A581" s="2" t="s">
        <v>586</v>
      </c>
      <c r="B581" s="2" t="s">
        <v>683</v>
      </c>
      <c r="C581" s="2" t="s">
        <v>709</v>
      </c>
      <c r="D581" s="2" t="s">
        <v>748</v>
      </c>
      <c r="E581" s="2">
        <v>16</v>
      </c>
      <c r="F581" s="2" t="str" cm="1">
        <f t="array" ref="F581">_xlfn.IFS(Table1[[#This Row],[Age]]&lt;=16,"15-16",Table1[[#This Row],[Age]]&lt;19,"17-18")</f>
        <v>15-16</v>
      </c>
      <c r="G581" s="2" t="s">
        <v>758</v>
      </c>
      <c r="H581" s="3">
        <v>0.35</v>
      </c>
      <c r="I581" s="3">
        <v>0.77700000000000002</v>
      </c>
      <c r="J581" s="3" t="str" cm="1">
        <f t="array" ref="J581">_xlfn.IFS(Table1[[#This Row],[Overall Attendance]]&gt;=0.6,"Good",Table1[[#This Row],[Overall Attendance]]&lt;0.6,"Bad")</f>
        <v>Good</v>
      </c>
      <c r="K581" s="4">
        <v>36838</v>
      </c>
      <c r="L581" s="4">
        <f t="shared" si="18"/>
        <v>442056</v>
      </c>
      <c r="M581" s="4" t="str" cm="1">
        <f t="array" ref="M58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81" s="2">
        <v>7.4</v>
      </c>
      <c r="O581" s="2" t="str" cm="1">
        <f t="array" ref="O581">_xlfn.IFS(Table1[[#This Row],[Distance to School (km)]]&gt;=5,"Far",Table1[[#This Row],[Distance to School (km)]]&lt;5,"Near")</f>
        <v>Far</v>
      </c>
      <c r="P581" s="5">
        <f t="shared" si="19"/>
        <v>0.4365</v>
      </c>
    </row>
    <row r="582" spans="1:16" ht="15" hidden="1" x14ac:dyDescent="0.25">
      <c r="A582" s="2" t="s">
        <v>587</v>
      </c>
      <c r="B582" s="2" t="s">
        <v>667</v>
      </c>
      <c r="C582" s="2" t="s">
        <v>716</v>
      </c>
      <c r="D582" s="2" t="s">
        <v>668</v>
      </c>
      <c r="E582" s="2">
        <v>15</v>
      </c>
      <c r="F582" s="2" t="str" cm="1">
        <f t="array" ref="F582">_xlfn.IFS(Table1[[#This Row],[Age]]&lt;=16,"15-16",Table1[[#This Row],[Age]]&lt;19,"17-18")</f>
        <v>15-16</v>
      </c>
      <c r="G582" s="2" t="s">
        <v>758</v>
      </c>
      <c r="H582" s="3">
        <v>0.64900000000000002</v>
      </c>
      <c r="I582" s="3">
        <v>0.74400000000000011</v>
      </c>
      <c r="J582" s="3" t="str" cm="1">
        <f t="array" ref="J582">_xlfn.IFS(Table1[[#This Row],[Overall Attendance]]&gt;=0.6,"Good",Table1[[#This Row],[Overall Attendance]]&lt;0.6,"Bad")</f>
        <v>Good</v>
      </c>
      <c r="K582" s="4">
        <v>147517</v>
      </c>
      <c r="L582" s="4">
        <f t="shared" si="18"/>
        <v>1770204</v>
      </c>
      <c r="M582" s="4" t="str" cm="1">
        <f t="array" ref="M58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82" s="2">
        <v>10</v>
      </c>
      <c r="O582" s="2" t="str" cm="1">
        <f t="array" ref="O582">_xlfn.IFS(Table1[[#This Row],[Distance to School (km)]]&gt;=5,"Far",Table1[[#This Row],[Distance to School (km)]]&lt;5,"Near")</f>
        <v>Far</v>
      </c>
      <c r="P582" s="5">
        <f t="shared" si="19"/>
        <v>0.30349999999999988</v>
      </c>
    </row>
    <row r="583" spans="1:16" ht="15" hidden="1" x14ac:dyDescent="0.25">
      <c r="A583" s="2" t="s">
        <v>588</v>
      </c>
      <c r="B583" s="2" t="s">
        <v>683</v>
      </c>
      <c r="C583" s="2" t="s">
        <v>730</v>
      </c>
      <c r="D583" s="2" t="s">
        <v>749</v>
      </c>
      <c r="E583" s="2">
        <v>16</v>
      </c>
      <c r="F583" s="2" t="str" cm="1">
        <f t="array" ref="F583">_xlfn.IFS(Table1[[#This Row],[Age]]&lt;=16,"15-16",Table1[[#This Row],[Age]]&lt;19,"17-18")</f>
        <v>15-16</v>
      </c>
      <c r="G583" s="2" t="s">
        <v>757</v>
      </c>
      <c r="H583" s="3">
        <v>0.64200000000000002</v>
      </c>
      <c r="I583" s="3">
        <v>0.71900000000000008</v>
      </c>
      <c r="J583" s="3" t="str" cm="1">
        <f t="array" ref="J583">_xlfn.IFS(Table1[[#This Row],[Overall Attendance]]&gt;=0.6,"Good",Table1[[#This Row],[Overall Attendance]]&lt;0.6,"Bad")</f>
        <v>Good</v>
      </c>
      <c r="K583" s="4">
        <v>60685</v>
      </c>
      <c r="L583" s="4">
        <f t="shared" si="18"/>
        <v>728220</v>
      </c>
      <c r="M583" s="4" t="str" cm="1">
        <f t="array" ref="M58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83" s="2">
        <v>6.3</v>
      </c>
      <c r="O583" s="2" t="str" cm="1">
        <f t="array" ref="O583">_xlfn.IFS(Table1[[#This Row],[Distance to School (km)]]&gt;=5,"Far",Table1[[#This Row],[Distance to School (km)]]&lt;5,"Near")</f>
        <v>Far</v>
      </c>
      <c r="P583" s="5">
        <f t="shared" si="19"/>
        <v>0.3194999999999999</v>
      </c>
    </row>
    <row r="584" spans="1:16" ht="15" x14ac:dyDescent="0.25">
      <c r="A584" s="2" t="s">
        <v>589</v>
      </c>
      <c r="B584" s="2" t="s">
        <v>664</v>
      </c>
      <c r="C584" s="2" t="s">
        <v>729</v>
      </c>
      <c r="D584" s="2" t="s">
        <v>742</v>
      </c>
      <c r="E584" s="2">
        <v>18</v>
      </c>
      <c r="F584" s="2" t="str" cm="1">
        <f t="array" ref="F584">_xlfn.IFS(Table1[[#This Row],[Age]]&lt;=16,"15-16",Table1[[#This Row],[Age]]&lt;19,"17-18")</f>
        <v>17-18</v>
      </c>
      <c r="G584" s="2" t="s">
        <v>757</v>
      </c>
      <c r="H584" s="3">
        <v>0.66700000000000004</v>
      </c>
      <c r="I584" s="3">
        <v>0.85499999999999998</v>
      </c>
      <c r="J584" s="3" t="str" cm="1">
        <f t="array" ref="J584">_xlfn.IFS(Table1[[#This Row],[Overall Attendance]]&gt;=0.6,"Good",Table1[[#This Row],[Overall Attendance]]&lt;0.6,"Bad")</f>
        <v>Good</v>
      </c>
      <c r="K584" s="4">
        <v>145641</v>
      </c>
      <c r="L584" s="4">
        <f t="shared" si="18"/>
        <v>1747692</v>
      </c>
      <c r="M584" s="4" t="str" cm="1">
        <f t="array" ref="M58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84" s="2">
        <v>2.1</v>
      </c>
      <c r="O584" s="2" t="str" cm="1">
        <f t="array" ref="O584">_xlfn.IFS(Table1[[#This Row],[Distance to School (km)]]&gt;=5,"Far",Table1[[#This Row],[Distance to School (km)]]&lt;5,"Near")</f>
        <v>Near</v>
      </c>
      <c r="P584" s="5">
        <f t="shared" si="19"/>
        <v>0.23899999999999999</v>
      </c>
    </row>
    <row r="585" spans="1:16" ht="15" hidden="1" x14ac:dyDescent="0.25">
      <c r="A585" s="2" t="s">
        <v>590</v>
      </c>
      <c r="B585" s="2" t="s">
        <v>676</v>
      </c>
      <c r="C585" s="2" t="s">
        <v>717</v>
      </c>
      <c r="D585" s="2" t="s">
        <v>746</v>
      </c>
      <c r="E585" s="2">
        <v>16</v>
      </c>
      <c r="F585" s="2" t="str" cm="1">
        <f t="array" ref="F585">_xlfn.IFS(Table1[[#This Row],[Age]]&lt;=16,"15-16",Table1[[#This Row],[Age]]&lt;19,"17-18")</f>
        <v>15-16</v>
      </c>
      <c r="G585" s="2" t="s">
        <v>758</v>
      </c>
      <c r="H585" s="3">
        <v>0.61799999999999999</v>
      </c>
      <c r="I585" s="3">
        <v>0.77</v>
      </c>
      <c r="J585" s="3" t="str" cm="1">
        <f t="array" ref="J585">_xlfn.IFS(Table1[[#This Row],[Overall Attendance]]&gt;=0.6,"Good",Table1[[#This Row],[Overall Attendance]]&lt;0.6,"Bad")</f>
        <v>Good</v>
      </c>
      <c r="K585" s="4">
        <v>95498</v>
      </c>
      <c r="L585" s="4">
        <f t="shared" si="18"/>
        <v>1145976</v>
      </c>
      <c r="M585" s="4" t="str" cm="1">
        <f t="array" ref="M58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85" s="2">
        <v>4</v>
      </c>
      <c r="O585" s="2" t="str" cm="1">
        <f t="array" ref="O585">_xlfn.IFS(Table1[[#This Row],[Distance to School (km)]]&gt;=5,"Far",Table1[[#This Row],[Distance to School (km)]]&lt;5,"Near")</f>
        <v>Near</v>
      </c>
      <c r="P585" s="5">
        <f t="shared" si="19"/>
        <v>0.30600000000000005</v>
      </c>
    </row>
    <row r="586" spans="1:16" ht="15" hidden="1" x14ac:dyDescent="0.25">
      <c r="A586" s="2" t="s">
        <v>591</v>
      </c>
      <c r="B586" s="2" t="s">
        <v>666</v>
      </c>
      <c r="C586" s="2" t="s">
        <v>703</v>
      </c>
      <c r="D586" s="2" t="s">
        <v>646</v>
      </c>
      <c r="E586" s="2">
        <v>15</v>
      </c>
      <c r="F586" s="2" t="str" cm="1">
        <f t="array" ref="F586">_xlfn.IFS(Table1[[#This Row],[Age]]&lt;=16,"15-16",Table1[[#This Row],[Age]]&lt;19,"17-18")</f>
        <v>15-16</v>
      </c>
      <c r="G586" s="2" t="s">
        <v>757</v>
      </c>
      <c r="H586" s="3">
        <v>0.625</v>
      </c>
      <c r="I586" s="3">
        <v>0.77099999999999991</v>
      </c>
      <c r="J586" s="3" t="str" cm="1">
        <f t="array" ref="J586">_xlfn.IFS(Table1[[#This Row],[Overall Attendance]]&gt;=0.6,"Good",Table1[[#This Row],[Overall Attendance]]&lt;0.6,"Bad")</f>
        <v>Good</v>
      </c>
      <c r="K586" s="4">
        <v>20616</v>
      </c>
      <c r="L586" s="4">
        <f t="shared" si="18"/>
        <v>247392</v>
      </c>
      <c r="M586" s="4" t="str" cm="1">
        <f t="array" ref="M58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86" s="2">
        <v>2.8</v>
      </c>
      <c r="O586" s="2" t="str" cm="1">
        <f t="array" ref="O586">_xlfn.IFS(Table1[[#This Row],[Distance to School (km)]]&gt;=5,"Far",Table1[[#This Row],[Distance to School (km)]]&lt;5,"Near")</f>
        <v>Near</v>
      </c>
      <c r="P586" s="5">
        <f t="shared" si="19"/>
        <v>0.30200000000000005</v>
      </c>
    </row>
    <row r="587" spans="1:16" ht="15" hidden="1" x14ac:dyDescent="0.25">
      <c r="A587" s="2" t="s">
        <v>592</v>
      </c>
      <c r="B587" s="2" t="s">
        <v>661</v>
      </c>
      <c r="C587" s="2" t="s">
        <v>646</v>
      </c>
      <c r="D587" s="2" t="s">
        <v>741</v>
      </c>
      <c r="E587" s="2">
        <v>16</v>
      </c>
      <c r="F587" s="2" t="str" cm="1">
        <f t="array" ref="F587">_xlfn.IFS(Table1[[#This Row],[Age]]&lt;=16,"15-16",Table1[[#This Row],[Age]]&lt;19,"17-18")</f>
        <v>15-16</v>
      </c>
      <c r="G587" s="2" t="s">
        <v>757</v>
      </c>
      <c r="H587" s="3">
        <v>0.71799999999999997</v>
      </c>
      <c r="I587" s="3">
        <v>0.84299999999999997</v>
      </c>
      <c r="J587" s="3" t="str" cm="1">
        <f t="array" ref="J587">_xlfn.IFS(Table1[[#This Row],[Overall Attendance]]&gt;=0.6,"Good",Table1[[#This Row],[Overall Attendance]]&lt;0.6,"Bad")</f>
        <v>Good</v>
      </c>
      <c r="K587" s="4">
        <v>99451</v>
      </c>
      <c r="L587" s="4">
        <f t="shared" si="18"/>
        <v>1193412</v>
      </c>
      <c r="M587" s="4" t="str" cm="1">
        <f t="array" ref="M58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87" s="2">
        <v>7.3</v>
      </c>
      <c r="O587" s="2" t="str" cm="1">
        <f t="array" ref="O587">_xlfn.IFS(Table1[[#This Row],[Distance to School (km)]]&gt;=5,"Far",Table1[[#This Row],[Distance to School (km)]]&lt;5,"Near")</f>
        <v>Far</v>
      </c>
      <c r="P587" s="5">
        <f t="shared" si="19"/>
        <v>0.21950000000000003</v>
      </c>
    </row>
    <row r="588" spans="1:16" ht="15" hidden="1" x14ac:dyDescent="0.25">
      <c r="A588" s="2" t="s">
        <v>593</v>
      </c>
      <c r="B588" s="2" t="s">
        <v>646</v>
      </c>
      <c r="C588" s="2" t="s">
        <v>672</v>
      </c>
      <c r="D588" s="2" t="s">
        <v>746</v>
      </c>
      <c r="E588" s="2">
        <v>16</v>
      </c>
      <c r="F588" s="2" t="str" cm="1">
        <f t="array" ref="F588">_xlfn.IFS(Table1[[#This Row],[Age]]&lt;=16,"15-16",Table1[[#This Row],[Age]]&lt;19,"17-18")</f>
        <v>15-16</v>
      </c>
      <c r="G588" s="2" t="s">
        <v>757</v>
      </c>
      <c r="H588" s="3">
        <v>0.81499999999999995</v>
      </c>
      <c r="I588" s="3">
        <v>0.92400000000000004</v>
      </c>
      <c r="J588" s="3" t="str" cm="1">
        <f t="array" ref="J588">_xlfn.IFS(Table1[[#This Row],[Overall Attendance]]&gt;=0.6,"Good",Table1[[#This Row],[Overall Attendance]]&lt;0.6,"Bad")</f>
        <v>Good</v>
      </c>
      <c r="K588" s="4">
        <v>787995</v>
      </c>
      <c r="L588" s="4">
        <f t="shared" si="18"/>
        <v>9455940</v>
      </c>
      <c r="M588" s="4" t="str" cm="1">
        <f t="array" ref="M588">_xlfn.IFS(Table1[[#This Row],[Family Income per Year]]&gt;=5000000,"High Income",Table1[[#This Row],[Family Income per Year]]&gt;=1000000,"Middle Income",Table1[[#This Row],[Family Income per Year]]&lt;1000000,"Low Income")</f>
        <v>High Income</v>
      </c>
      <c r="N588" s="2">
        <v>10.3</v>
      </c>
      <c r="O588" s="2" t="str" cm="1">
        <f t="array" ref="O588">_xlfn.IFS(Table1[[#This Row],[Distance to School (km)]]&gt;=5,"Far",Table1[[#This Row],[Distance to School (km)]]&lt;5,"Near")</f>
        <v>Far</v>
      </c>
      <c r="P588" s="5">
        <f t="shared" si="19"/>
        <v>0.13050000000000006</v>
      </c>
    </row>
    <row r="589" spans="1:16" ht="15" hidden="1" x14ac:dyDescent="0.25">
      <c r="A589" s="2" t="s">
        <v>594</v>
      </c>
      <c r="B589" s="2" t="s">
        <v>657</v>
      </c>
      <c r="C589" s="2" t="s">
        <v>731</v>
      </c>
      <c r="D589" s="2" t="s">
        <v>739</v>
      </c>
      <c r="E589" s="2">
        <v>15</v>
      </c>
      <c r="F589" s="2" t="str" cm="1">
        <f t="array" ref="F589">_xlfn.IFS(Table1[[#This Row],[Age]]&lt;=16,"15-16",Table1[[#This Row],[Age]]&lt;19,"17-18")</f>
        <v>15-16</v>
      </c>
      <c r="G589" s="2" t="s">
        <v>757</v>
      </c>
      <c r="H589" s="3">
        <v>0.70400000000000007</v>
      </c>
      <c r="I589" s="3">
        <v>0.82599999999999996</v>
      </c>
      <c r="J589" s="3" t="str" cm="1">
        <f t="array" ref="J589">_xlfn.IFS(Table1[[#This Row],[Overall Attendance]]&gt;=0.6,"Good",Table1[[#This Row],[Overall Attendance]]&lt;0.6,"Bad")</f>
        <v>Good</v>
      </c>
      <c r="K589" s="4">
        <v>26276</v>
      </c>
      <c r="L589" s="4">
        <f t="shared" si="18"/>
        <v>315312</v>
      </c>
      <c r="M589" s="4" t="str" cm="1">
        <f t="array" ref="M58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89" s="2">
        <v>11.7</v>
      </c>
      <c r="O589" s="2" t="str" cm="1">
        <f t="array" ref="O589">_xlfn.IFS(Table1[[#This Row],[Distance to School (km)]]&gt;=5,"Far",Table1[[#This Row],[Distance to School (km)]]&lt;5,"Near")</f>
        <v>Far</v>
      </c>
      <c r="P589" s="5">
        <f t="shared" si="19"/>
        <v>0.23499999999999999</v>
      </c>
    </row>
    <row r="590" spans="1:16" ht="15" x14ac:dyDescent="0.25">
      <c r="A590" s="2" t="s">
        <v>595</v>
      </c>
      <c r="B590" s="2" t="s">
        <v>642</v>
      </c>
      <c r="C590" s="2" t="s">
        <v>733</v>
      </c>
      <c r="D590" s="2" t="s">
        <v>646</v>
      </c>
      <c r="E590" s="2">
        <v>18</v>
      </c>
      <c r="F590" s="2" t="str" cm="1">
        <f t="array" ref="F590">_xlfn.IFS(Table1[[#This Row],[Age]]&lt;=16,"15-16",Table1[[#This Row],[Age]]&lt;19,"17-18")</f>
        <v>17-18</v>
      </c>
      <c r="G590" s="2" t="s">
        <v>757</v>
      </c>
      <c r="H590" s="3">
        <v>0.43700000000000006</v>
      </c>
      <c r="I590" s="3">
        <v>0.84400000000000008</v>
      </c>
      <c r="J590" s="3" t="str" cm="1">
        <f t="array" ref="J590">_xlfn.IFS(Table1[[#This Row],[Overall Attendance]]&gt;=0.6,"Good",Table1[[#This Row],[Overall Attendance]]&lt;0.6,"Bad")</f>
        <v>Good</v>
      </c>
      <c r="K590" s="4">
        <v>78814</v>
      </c>
      <c r="L590" s="4">
        <f t="shared" si="18"/>
        <v>945768</v>
      </c>
      <c r="M590" s="4" t="str" cm="1">
        <f t="array" ref="M59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90" s="2">
        <v>10.1</v>
      </c>
      <c r="O590" s="2" t="str" cm="1">
        <f t="array" ref="O590">_xlfn.IFS(Table1[[#This Row],[Distance to School (km)]]&gt;=5,"Far",Table1[[#This Row],[Distance to School (km)]]&lt;5,"Near")</f>
        <v>Far</v>
      </c>
      <c r="P590" s="5">
        <f t="shared" si="19"/>
        <v>0.35949999999999993</v>
      </c>
    </row>
    <row r="591" spans="1:16" ht="15" x14ac:dyDescent="0.25">
      <c r="A591" s="2" t="s">
        <v>596</v>
      </c>
      <c r="B591" s="2" t="s">
        <v>642</v>
      </c>
      <c r="C591" s="2" t="s">
        <v>724</v>
      </c>
      <c r="D591" s="2" t="s">
        <v>736</v>
      </c>
      <c r="E591" s="2">
        <v>17</v>
      </c>
      <c r="F591" s="2" t="str" cm="1">
        <f t="array" ref="F591">_xlfn.IFS(Table1[[#This Row],[Age]]&lt;=16,"15-16",Table1[[#This Row],[Age]]&lt;19,"17-18")</f>
        <v>17-18</v>
      </c>
      <c r="G591" s="2" t="s">
        <v>758</v>
      </c>
      <c r="H591" s="3">
        <v>0.45</v>
      </c>
      <c r="I591" s="3">
        <v>0.91299999999999992</v>
      </c>
      <c r="J591" s="3" t="str" cm="1">
        <f t="array" ref="J591">_xlfn.IFS(Table1[[#This Row],[Overall Attendance]]&gt;=0.6,"Good",Table1[[#This Row],[Overall Attendance]]&lt;0.6,"Bad")</f>
        <v>Good</v>
      </c>
      <c r="K591" s="4">
        <v>58102</v>
      </c>
      <c r="L591" s="4">
        <f t="shared" si="18"/>
        <v>697224</v>
      </c>
      <c r="M591" s="4" t="str" cm="1">
        <f t="array" ref="M59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91" s="2">
        <v>6.2</v>
      </c>
      <c r="O591" s="2" t="str" cm="1">
        <f t="array" ref="O591">_xlfn.IFS(Table1[[#This Row],[Distance to School (km)]]&gt;=5,"Far",Table1[[#This Row],[Distance to School (km)]]&lt;5,"Near")</f>
        <v>Far</v>
      </c>
      <c r="P591" s="5">
        <f t="shared" si="19"/>
        <v>0.31850000000000001</v>
      </c>
    </row>
    <row r="592" spans="1:16" ht="15" x14ac:dyDescent="0.25">
      <c r="A592" s="2" t="s">
        <v>597</v>
      </c>
      <c r="B592" s="2" t="s">
        <v>644</v>
      </c>
      <c r="C592" s="2" t="s">
        <v>694</v>
      </c>
      <c r="D592" s="2" t="s">
        <v>742</v>
      </c>
      <c r="E592" s="2">
        <v>18</v>
      </c>
      <c r="F592" s="2" t="str" cm="1">
        <f t="array" ref="F592">_xlfn.IFS(Table1[[#This Row],[Age]]&lt;=16,"15-16",Table1[[#This Row],[Age]]&lt;19,"17-18")</f>
        <v>17-18</v>
      </c>
      <c r="G592" s="2" t="s">
        <v>758</v>
      </c>
      <c r="H592" s="3">
        <v>0.59200000000000008</v>
      </c>
      <c r="I592" s="3">
        <v>0.8640000000000001</v>
      </c>
      <c r="J592" s="3" t="str" cm="1">
        <f t="array" ref="J592">_xlfn.IFS(Table1[[#This Row],[Overall Attendance]]&gt;=0.6,"Good",Table1[[#This Row],[Overall Attendance]]&lt;0.6,"Bad")</f>
        <v>Good</v>
      </c>
      <c r="K592" s="4">
        <v>178695</v>
      </c>
      <c r="L592" s="4">
        <f t="shared" si="18"/>
        <v>2144340</v>
      </c>
      <c r="M592" s="4" t="str" cm="1">
        <f t="array" ref="M59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92" s="2">
        <v>8.4</v>
      </c>
      <c r="O592" s="2" t="str" cm="1">
        <f t="array" ref="O592">_xlfn.IFS(Table1[[#This Row],[Distance to School (km)]]&gt;=5,"Far",Table1[[#This Row],[Distance to School (km)]]&lt;5,"Near")</f>
        <v>Far</v>
      </c>
      <c r="P592" s="5">
        <f t="shared" si="19"/>
        <v>0.27199999999999991</v>
      </c>
    </row>
    <row r="593" spans="1:16" ht="15" x14ac:dyDescent="0.25">
      <c r="A593" s="2" t="s">
        <v>598</v>
      </c>
      <c r="B593" s="2" t="s">
        <v>654</v>
      </c>
      <c r="C593" s="2" t="s">
        <v>668</v>
      </c>
      <c r="D593" s="2" t="s">
        <v>748</v>
      </c>
      <c r="E593" s="2">
        <v>18</v>
      </c>
      <c r="F593" s="2" t="str" cm="1">
        <f t="array" ref="F593">_xlfn.IFS(Table1[[#This Row],[Age]]&lt;=16,"15-16",Table1[[#This Row],[Age]]&lt;19,"17-18")</f>
        <v>17-18</v>
      </c>
      <c r="G593" s="2" t="s">
        <v>757</v>
      </c>
      <c r="H593" s="3">
        <v>0.746</v>
      </c>
      <c r="I593" s="3">
        <v>0.81</v>
      </c>
      <c r="J593" s="3" t="str" cm="1">
        <f t="array" ref="J593">_xlfn.IFS(Table1[[#This Row],[Overall Attendance]]&gt;=0.6,"Good",Table1[[#This Row],[Overall Attendance]]&lt;0.6,"Bad")</f>
        <v>Good</v>
      </c>
      <c r="K593" s="4">
        <v>162348</v>
      </c>
      <c r="L593" s="4">
        <f t="shared" si="18"/>
        <v>1948176</v>
      </c>
      <c r="M593" s="4" t="str" cm="1">
        <f t="array" ref="M59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93" s="2">
        <v>2.6</v>
      </c>
      <c r="O593" s="2" t="str" cm="1">
        <f t="array" ref="O593">_xlfn.IFS(Table1[[#This Row],[Distance to School (km)]]&gt;=5,"Far",Table1[[#This Row],[Distance to School (km)]]&lt;5,"Near")</f>
        <v>Near</v>
      </c>
      <c r="P593" s="5">
        <f t="shared" si="19"/>
        <v>0.22199999999999998</v>
      </c>
    </row>
    <row r="594" spans="1:16" ht="15" hidden="1" x14ac:dyDescent="0.25">
      <c r="A594" s="2" t="s">
        <v>599</v>
      </c>
      <c r="B594" s="2" t="s">
        <v>674</v>
      </c>
      <c r="C594" s="2" t="s">
        <v>728</v>
      </c>
      <c r="D594" s="2" t="s">
        <v>756</v>
      </c>
      <c r="E594" s="2">
        <v>16</v>
      </c>
      <c r="F594" s="2" t="str" cm="1">
        <f t="array" ref="F594">_xlfn.IFS(Table1[[#This Row],[Age]]&lt;=16,"15-16",Table1[[#This Row],[Age]]&lt;19,"17-18")</f>
        <v>15-16</v>
      </c>
      <c r="G594" s="2" t="s">
        <v>757</v>
      </c>
      <c r="H594" s="3">
        <v>0.59299999999999997</v>
      </c>
      <c r="I594" s="3">
        <v>0.78500000000000003</v>
      </c>
      <c r="J594" s="3" t="str" cm="1">
        <f t="array" ref="J594">_xlfn.IFS(Table1[[#This Row],[Overall Attendance]]&gt;=0.6,"Good",Table1[[#This Row],[Overall Attendance]]&lt;0.6,"Bad")</f>
        <v>Good</v>
      </c>
      <c r="K594" s="4">
        <v>24697</v>
      </c>
      <c r="L594" s="4">
        <f t="shared" si="18"/>
        <v>296364</v>
      </c>
      <c r="M594" s="4" t="str" cm="1">
        <f t="array" ref="M59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94" s="2">
        <v>9</v>
      </c>
      <c r="O594" s="2" t="str" cm="1">
        <f t="array" ref="O594">_xlfn.IFS(Table1[[#This Row],[Distance to School (km)]]&gt;=5,"Far",Table1[[#This Row],[Distance to School (km)]]&lt;5,"Near")</f>
        <v>Far</v>
      </c>
      <c r="P594" s="5">
        <f t="shared" si="19"/>
        <v>0.31099999999999994</v>
      </c>
    </row>
    <row r="595" spans="1:16" ht="15" x14ac:dyDescent="0.25">
      <c r="A595" s="2" t="s">
        <v>600</v>
      </c>
      <c r="B595" s="2" t="s">
        <v>655</v>
      </c>
      <c r="C595" s="2" t="s">
        <v>689</v>
      </c>
      <c r="D595" s="2" t="s">
        <v>754</v>
      </c>
      <c r="E595" s="2">
        <v>17</v>
      </c>
      <c r="F595" s="2" t="str" cm="1">
        <f t="array" ref="F595">_xlfn.IFS(Table1[[#This Row],[Age]]&lt;=16,"15-16",Table1[[#This Row],[Age]]&lt;19,"17-18")</f>
        <v>17-18</v>
      </c>
      <c r="G595" s="2" t="s">
        <v>757</v>
      </c>
      <c r="H595" s="3">
        <v>0.69099999999999995</v>
      </c>
      <c r="I595" s="3">
        <v>0.98</v>
      </c>
      <c r="J595" s="3" t="str" cm="1">
        <f t="array" ref="J595">_xlfn.IFS(Table1[[#This Row],[Overall Attendance]]&gt;=0.6,"Good",Table1[[#This Row],[Overall Attendance]]&lt;0.6,"Bad")</f>
        <v>Good</v>
      </c>
      <c r="K595" s="4">
        <v>311334</v>
      </c>
      <c r="L595" s="4">
        <f t="shared" si="18"/>
        <v>3736008</v>
      </c>
      <c r="M595" s="4" t="str" cm="1">
        <f t="array" ref="M59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95" s="2">
        <v>3.7</v>
      </c>
      <c r="O595" s="2" t="str" cm="1">
        <f t="array" ref="O595">_xlfn.IFS(Table1[[#This Row],[Distance to School (km)]]&gt;=5,"Far",Table1[[#This Row],[Distance to School (km)]]&lt;5,"Near")</f>
        <v>Near</v>
      </c>
      <c r="P595" s="5">
        <f t="shared" si="19"/>
        <v>0.16450000000000009</v>
      </c>
    </row>
    <row r="596" spans="1:16" ht="15" x14ac:dyDescent="0.25">
      <c r="A596" s="2" t="s">
        <v>601</v>
      </c>
      <c r="B596" s="2" t="s">
        <v>681</v>
      </c>
      <c r="C596" s="2" t="s">
        <v>726</v>
      </c>
      <c r="D596" s="2" t="s">
        <v>668</v>
      </c>
      <c r="E596" s="2">
        <v>17</v>
      </c>
      <c r="F596" s="2" t="str" cm="1">
        <f t="array" ref="F596">_xlfn.IFS(Table1[[#This Row],[Age]]&lt;=16,"15-16",Table1[[#This Row],[Age]]&lt;19,"17-18")</f>
        <v>17-18</v>
      </c>
      <c r="G596" s="2" t="s">
        <v>758</v>
      </c>
      <c r="H596" s="3">
        <v>0.52300000000000002</v>
      </c>
      <c r="I596" s="3">
        <v>0.75900000000000001</v>
      </c>
      <c r="J596" s="3" t="str" cm="1">
        <f t="array" ref="J596">_xlfn.IFS(Table1[[#This Row],[Overall Attendance]]&gt;=0.6,"Good",Table1[[#This Row],[Overall Attendance]]&lt;0.6,"Bad")</f>
        <v>Good</v>
      </c>
      <c r="K596" s="4">
        <v>238634</v>
      </c>
      <c r="L596" s="4">
        <f t="shared" si="18"/>
        <v>2863608</v>
      </c>
      <c r="M596" s="4" t="str" cm="1">
        <f t="array" ref="M59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96" s="2">
        <v>1.7</v>
      </c>
      <c r="O596" s="2" t="str" cm="1">
        <f t="array" ref="O596">_xlfn.IFS(Table1[[#This Row],[Distance to School (km)]]&gt;=5,"Far",Table1[[#This Row],[Distance to School (km)]]&lt;5,"Near")</f>
        <v>Near</v>
      </c>
      <c r="P596" s="5">
        <f t="shared" si="19"/>
        <v>0.35899999999999999</v>
      </c>
    </row>
    <row r="597" spans="1:16" ht="15" x14ac:dyDescent="0.25">
      <c r="A597" s="2" t="s">
        <v>602</v>
      </c>
      <c r="B597" s="2" t="s">
        <v>645</v>
      </c>
      <c r="C597" s="2" t="s">
        <v>719</v>
      </c>
      <c r="D597" s="2" t="s">
        <v>641</v>
      </c>
      <c r="E597" s="2">
        <v>18</v>
      </c>
      <c r="F597" s="2" t="str" cm="1">
        <f t="array" ref="F597">_xlfn.IFS(Table1[[#This Row],[Age]]&lt;=16,"15-16",Table1[[#This Row],[Age]]&lt;19,"17-18")</f>
        <v>17-18</v>
      </c>
      <c r="G597" s="2" t="s">
        <v>758</v>
      </c>
      <c r="H597" s="3">
        <v>0.64800000000000002</v>
      </c>
      <c r="I597" s="3">
        <v>0.81099999999999994</v>
      </c>
      <c r="J597" s="3" t="str" cm="1">
        <f t="array" ref="J597">_xlfn.IFS(Table1[[#This Row],[Overall Attendance]]&gt;=0.6,"Good",Table1[[#This Row],[Overall Attendance]]&lt;0.6,"Bad")</f>
        <v>Good</v>
      </c>
      <c r="K597" s="4">
        <v>44176</v>
      </c>
      <c r="L597" s="4">
        <f t="shared" si="18"/>
        <v>530112</v>
      </c>
      <c r="M597" s="4" t="str" cm="1">
        <f t="array" ref="M597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97" s="2">
        <v>11.7</v>
      </c>
      <c r="O597" s="2" t="str" cm="1">
        <f t="array" ref="O597">_xlfn.IFS(Table1[[#This Row],[Distance to School (km)]]&gt;=5,"Far",Table1[[#This Row],[Distance to School (km)]]&lt;5,"Near")</f>
        <v>Far</v>
      </c>
      <c r="P597" s="5">
        <f t="shared" si="19"/>
        <v>0.27049999999999996</v>
      </c>
    </row>
    <row r="598" spans="1:16" ht="15" x14ac:dyDescent="0.25">
      <c r="A598" s="2" t="s">
        <v>603</v>
      </c>
      <c r="B598" s="2" t="s">
        <v>676</v>
      </c>
      <c r="C598" s="2" t="s">
        <v>706</v>
      </c>
      <c r="D598" s="2" t="s">
        <v>737</v>
      </c>
      <c r="E598" s="2">
        <v>18</v>
      </c>
      <c r="F598" s="2" t="str" cm="1">
        <f t="array" ref="F598">_xlfn.IFS(Table1[[#This Row],[Age]]&lt;=16,"15-16",Table1[[#This Row],[Age]]&lt;19,"17-18")</f>
        <v>17-18</v>
      </c>
      <c r="G598" s="2" t="s">
        <v>758</v>
      </c>
      <c r="H598" s="3">
        <v>0.47499999999999998</v>
      </c>
      <c r="I598" s="3">
        <v>0.70200000000000007</v>
      </c>
      <c r="J598" s="3" t="str" cm="1">
        <f t="array" ref="J598">_xlfn.IFS(Table1[[#This Row],[Overall Attendance]]&gt;=0.6,"Good",Table1[[#This Row],[Overall Attendance]]&lt;0.6,"Bad")</f>
        <v>Good</v>
      </c>
      <c r="K598" s="4">
        <v>329025</v>
      </c>
      <c r="L598" s="4">
        <f t="shared" si="18"/>
        <v>3948300</v>
      </c>
      <c r="M598" s="4" t="str" cm="1">
        <f t="array" ref="M59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598" s="2">
        <v>2.8</v>
      </c>
      <c r="O598" s="2" t="str" cm="1">
        <f t="array" ref="O598">_xlfn.IFS(Table1[[#This Row],[Distance to School (km)]]&gt;=5,"Far",Table1[[#This Row],[Distance to School (km)]]&lt;5,"Near")</f>
        <v>Near</v>
      </c>
      <c r="P598" s="5">
        <f t="shared" si="19"/>
        <v>0.41149999999999998</v>
      </c>
    </row>
    <row r="599" spans="1:16" ht="15" x14ac:dyDescent="0.25">
      <c r="A599" s="2" t="s">
        <v>604</v>
      </c>
      <c r="B599" s="2" t="s">
        <v>665</v>
      </c>
      <c r="C599" s="2" t="s">
        <v>721</v>
      </c>
      <c r="D599" s="2" t="s">
        <v>712</v>
      </c>
      <c r="E599" s="2">
        <v>17</v>
      </c>
      <c r="F599" s="2" t="str" cm="1">
        <f t="array" ref="F599">_xlfn.IFS(Table1[[#This Row],[Age]]&lt;=16,"15-16",Table1[[#This Row],[Age]]&lt;19,"17-18")</f>
        <v>17-18</v>
      </c>
      <c r="G599" s="2" t="s">
        <v>758</v>
      </c>
      <c r="H599" s="3">
        <v>0.48799999999999999</v>
      </c>
      <c r="I599" s="3">
        <v>0.98</v>
      </c>
      <c r="J599" s="3" t="str" cm="1">
        <f t="array" ref="J599">_xlfn.IFS(Table1[[#This Row],[Overall Attendance]]&gt;=0.6,"Good",Table1[[#This Row],[Overall Attendance]]&lt;0.6,"Bad")</f>
        <v>Good</v>
      </c>
      <c r="K599" s="4">
        <v>37911</v>
      </c>
      <c r="L599" s="4">
        <f t="shared" si="18"/>
        <v>454932</v>
      </c>
      <c r="M599" s="4" t="str" cm="1">
        <f t="array" ref="M599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599" s="2">
        <v>4.9000000000000004</v>
      </c>
      <c r="O599" s="2" t="str" cm="1">
        <f t="array" ref="O599">_xlfn.IFS(Table1[[#This Row],[Distance to School (km)]]&gt;=5,"Far",Table1[[#This Row],[Distance to School (km)]]&lt;5,"Near")</f>
        <v>Near</v>
      </c>
      <c r="P599" s="5">
        <f t="shared" si="19"/>
        <v>0.26600000000000001</v>
      </c>
    </row>
    <row r="600" spans="1:16" ht="15" x14ac:dyDescent="0.25">
      <c r="A600" s="2" t="s">
        <v>605</v>
      </c>
      <c r="B600" s="2" t="s">
        <v>664</v>
      </c>
      <c r="C600" s="2" t="s">
        <v>697</v>
      </c>
      <c r="D600" s="2" t="s">
        <v>745</v>
      </c>
      <c r="E600" s="2">
        <v>17</v>
      </c>
      <c r="F600" s="2" t="str" cm="1">
        <f t="array" ref="F600">_xlfn.IFS(Table1[[#This Row],[Age]]&lt;=16,"15-16",Table1[[#This Row],[Age]]&lt;19,"17-18")</f>
        <v>17-18</v>
      </c>
      <c r="G600" s="2" t="s">
        <v>758</v>
      </c>
      <c r="H600" s="3">
        <v>0.77</v>
      </c>
      <c r="I600" s="3">
        <v>0.84599999999999997</v>
      </c>
      <c r="J600" s="3" t="str" cm="1">
        <f t="array" ref="J600">_xlfn.IFS(Table1[[#This Row],[Overall Attendance]]&gt;=0.6,"Good",Table1[[#This Row],[Overall Attendance]]&lt;0.6,"Bad")</f>
        <v>Good</v>
      </c>
      <c r="K600" s="4">
        <v>243030</v>
      </c>
      <c r="L600" s="4">
        <f t="shared" si="18"/>
        <v>2916360</v>
      </c>
      <c r="M600" s="4" t="str" cm="1">
        <f t="array" ref="M60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00" s="2">
        <v>5.5</v>
      </c>
      <c r="O600" s="2" t="str" cm="1">
        <f t="array" ref="O600">_xlfn.IFS(Table1[[#This Row],[Distance to School (km)]]&gt;=5,"Far",Table1[[#This Row],[Distance to School (km)]]&lt;5,"Near")</f>
        <v>Far</v>
      </c>
      <c r="P600" s="5">
        <f t="shared" si="19"/>
        <v>0.19199999999999995</v>
      </c>
    </row>
    <row r="601" spans="1:16" ht="15" hidden="1" x14ac:dyDescent="0.25">
      <c r="A601" s="2" t="s">
        <v>606</v>
      </c>
      <c r="B601" s="2" t="s">
        <v>661</v>
      </c>
      <c r="C601" s="2" t="s">
        <v>719</v>
      </c>
      <c r="D601" s="2" t="s">
        <v>747</v>
      </c>
      <c r="E601" s="2">
        <v>16</v>
      </c>
      <c r="F601" s="2" t="str" cm="1">
        <f t="array" ref="F601">_xlfn.IFS(Table1[[#This Row],[Age]]&lt;=16,"15-16",Table1[[#This Row],[Age]]&lt;19,"17-18")</f>
        <v>15-16</v>
      </c>
      <c r="G601" s="2" t="s">
        <v>758</v>
      </c>
      <c r="H601" s="3">
        <v>0.54</v>
      </c>
      <c r="I601" s="3">
        <v>0.68900000000000006</v>
      </c>
      <c r="J601" s="3" t="str" cm="1">
        <f t="array" ref="J601">_xlfn.IFS(Table1[[#This Row],[Overall Attendance]]&gt;=0.6,"Good",Table1[[#This Row],[Overall Attendance]]&lt;0.6,"Bad")</f>
        <v>Good</v>
      </c>
      <c r="K601" s="4">
        <v>323161</v>
      </c>
      <c r="L601" s="4">
        <f t="shared" si="18"/>
        <v>3877932</v>
      </c>
      <c r="M601" s="4" t="str" cm="1">
        <f t="array" ref="M60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01" s="2">
        <v>7</v>
      </c>
      <c r="O601" s="2" t="str" cm="1">
        <f t="array" ref="O601">_xlfn.IFS(Table1[[#This Row],[Distance to School (km)]]&gt;=5,"Far",Table1[[#This Row],[Distance to School (km)]]&lt;5,"Near")</f>
        <v>Far</v>
      </c>
      <c r="P601" s="5">
        <f t="shared" si="19"/>
        <v>0.38549999999999995</v>
      </c>
    </row>
    <row r="602" spans="1:16" ht="15" hidden="1" x14ac:dyDescent="0.25">
      <c r="A602" s="2" t="s">
        <v>607</v>
      </c>
      <c r="B602" s="2" t="s">
        <v>665</v>
      </c>
      <c r="C602" s="2" t="s">
        <v>728</v>
      </c>
      <c r="D602" s="2" t="s">
        <v>753</v>
      </c>
      <c r="E602" s="2">
        <v>15</v>
      </c>
      <c r="F602" s="2" t="str" cm="1">
        <f t="array" ref="F602">_xlfn.IFS(Table1[[#This Row],[Age]]&lt;=16,"15-16",Table1[[#This Row],[Age]]&lt;19,"17-18")</f>
        <v>15-16</v>
      </c>
      <c r="G602" s="2" t="s">
        <v>757</v>
      </c>
      <c r="H602" s="3">
        <v>0.52200000000000002</v>
      </c>
      <c r="I602" s="3">
        <v>0.76700000000000002</v>
      </c>
      <c r="J602" s="3" t="str" cm="1">
        <f t="array" ref="J602">_xlfn.IFS(Table1[[#This Row],[Overall Attendance]]&gt;=0.6,"Good",Table1[[#This Row],[Overall Attendance]]&lt;0.6,"Bad")</f>
        <v>Good</v>
      </c>
      <c r="K602" s="4">
        <v>42167</v>
      </c>
      <c r="L602" s="4">
        <f t="shared" si="18"/>
        <v>506004</v>
      </c>
      <c r="M602" s="4" t="str" cm="1">
        <f t="array" ref="M60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02" s="2">
        <v>0.8</v>
      </c>
      <c r="O602" s="2" t="str" cm="1">
        <f t="array" ref="O602">_xlfn.IFS(Table1[[#This Row],[Distance to School (km)]]&gt;=5,"Far",Table1[[#This Row],[Distance to School (km)]]&lt;5,"Near")</f>
        <v>Near</v>
      </c>
      <c r="P602" s="5">
        <f t="shared" si="19"/>
        <v>0.35549999999999993</v>
      </c>
    </row>
    <row r="603" spans="1:16" ht="15" x14ac:dyDescent="0.25">
      <c r="A603" s="2" t="s">
        <v>608</v>
      </c>
      <c r="B603" s="2" t="s">
        <v>651</v>
      </c>
      <c r="C603" s="2" t="s">
        <v>708</v>
      </c>
      <c r="D603" s="2" t="s">
        <v>749</v>
      </c>
      <c r="E603" s="2">
        <v>17</v>
      </c>
      <c r="F603" s="2" t="str" cm="1">
        <f t="array" ref="F603">_xlfn.IFS(Table1[[#This Row],[Age]]&lt;=16,"15-16",Table1[[#This Row],[Age]]&lt;19,"17-18")</f>
        <v>17-18</v>
      </c>
      <c r="G603" s="2" t="s">
        <v>757</v>
      </c>
      <c r="H603" s="3">
        <v>0.67799999999999994</v>
      </c>
      <c r="I603" s="3">
        <v>0.69700000000000006</v>
      </c>
      <c r="J603" s="3" t="str" cm="1">
        <f t="array" ref="J603">_xlfn.IFS(Table1[[#This Row],[Overall Attendance]]&gt;=0.6,"Good",Table1[[#This Row],[Overall Attendance]]&lt;0.6,"Bad")</f>
        <v>Good</v>
      </c>
      <c r="K603" s="4">
        <v>45073</v>
      </c>
      <c r="L603" s="4">
        <f t="shared" si="18"/>
        <v>540876</v>
      </c>
      <c r="M603" s="4" t="str" cm="1">
        <f t="array" ref="M60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03" s="2">
        <v>5.4</v>
      </c>
      <c r="O603" s="2" t="str" cm="1">
        <f t="array" ref="O603">_xlfn.IFS(Table1[[#This Row],[Distance to School (km)]]&gt;=5,"Far",Table1[[#This Row],[Distance to School (km)]]&lt;5,"Near")</f>
        <v>Far</v>
      </c>
      <c r="P603" s="5">
        <f t="shared" si="19"/>
        <v>0.3125</v>
      </c>
    </row>
    <row r="604" spans="1:16" ht="15" hidden="1" x14ac:dyDescent="0.25">
      <c r="A604" s="2" t="s">
        <v>609</v>
      </c>
      <c r="B604" s="2" t="s">
        <v>649</v>
      </c>
      <c r="C604" s="2" t="s">
        <v>726</v>
      </c>
      <c r="D604" s="2" t="s">
        <v>668</v>
      </c>
      <c r="E604" s="2">
        <v>15</v>
      </c>
      <c r="F604" s="2" t="str" cm="1">
        <f t="array" ref="F604">_xlfn.IFS(Table1[[#This Row],[Age]]&lt;=16,"15-16",Table1[[#This Row],[Age]]&lt;19,"17-18")</f>
        <v>15-16</v>
      </c>
      <c r="G604" s="2" t="s">
        <v>758</v>
      </c>
      <c r="H604" s="3">
        <v>0.623</v>
      </c>
      <c r="I604" s="3">
        <v>0.89300000000000002</v>
      </c>
      <c r="J604" s="3" t="str" cm="1">
        <f t="array" ref="J604">_xlfn.IFS(Table1[[#This Row],[Overall Attendance]]&gt;=0.6,"Good",Table1[[#This Row],[Overall Attendance]]&lt;0.6,"Bad")</f>
        <v>Good</v>
      </c>
      <c r="K604" s="4">
        <v>30226</v>
      </c>
      <c r="L604" s="4">
        <f t="shared" si="18"/>
        <v>362712</v>
      </c>
      <c r="M604" s="4" t="str" cm="1">
        <f t="array" ref="M604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04" s="2">
        <v>10.5</v>
      </c>
      <c r="O604" s="2" t="str" cm="1">
        <f t="array" ref="O604">_xlfn.IFS(Table1[[#This Row],[Distance to School (km)]]&gt;=5,"Far",Table1[[#This Row],[Distance to School (km)]]&lt;5,"Near")</f>
        <v>Far</v>
      </c>
      <c r="P604" s="5">
        <f t="shared" si="19"/>
        <v>0.24199999999999999</v>
      </c>
    </row>
    <row r="605" spans="1:16" ht="15" x14ac:dyDescent="0.25">
      <c r="A605" s="2" t="s">
        <v>610</v>
      </c>
      <c r="B605" s="2" t="s">
        <v>671</v>
      </c>
      <c r="C605" s="2" t="s">
        <v>717</v>
      </c>
      <c r="D605" s="2" t="s">
        <v>712</v>
      </c>
      <c r="E605" s="2">
        <v>18</v>
      </c>
      <c r="F605" s="2" t="str" cm="1">
        <f t="array" ref="F605">_xlfn.IFS(Table1[[#This Row],[Age]]&lt;=16,"15-16",Table1[[#This Row],[Age]]&lt;19,"17-18")</f>
        <v>17-18</v>
      </c>
      <c r="G605" s="2" t="s">
        <v>758</v>
      </c>
      <c r="H605" s="3">
        <v>0.55899999999999994</v>
      </c>
      <c r="I605" s="3">
        <v>0.91900000000000004</v>
      </c>
      <c r="J605" s="3" t="str" cm="1">
        <f t="array" ref="J605">_xlfn.IFS(Table1[[#This Row],[Overall Attendance]]&gt;=0.6,"Good",Table1[[#This Row],[Overall Attendance]]&lt;0.6,"Bad")</f>
        <v>Good</v>
      </c>
      <c r="K605" s="4">
        <v>334942</v>
      </c>
      <c r="L605" s="4">
        <f t="shared" si="18"/>
        <v>4019304</v>
      </c>
      <c r="M605" s="4" t="str" cm="1">
        <f t="array" ref="M60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05" s="2">
        <v>3.6</v>
      </c>
      <c r="O605" s="2" t="str" cm="1">
        <f t="array" ref="O605">_xlfn.IFS(Table1[[#This Row],[Distance to School (km)]]&gt;=5,"Far",Table1[[#This Row],[Distance to School (km)]]&lt;5,"Near")</f>
        <v>Near</v>
      </c>
      <c r="P605" s="5">
        <f t="shared" si="19"/>
        <v>0.26100000000000001</v>
      </c>
    </row>
    <row r="606" spans="1:16" ht="15" x14ac:dyDescent="0.25">
      <c r="A606" s="2" t="s">
        <v>611</v>
      </c>
      <c r="B606" s="2" t="s">
        <v>647</v>
      </c>
      <c r="C606" s="2" t="s">
        <v>735</v>
      </c>
      <c r="D606" s="2" t="s">
        <v>747</v>
      </c>
      <c r="E606" s="2">
        <v>17</v>
      </c>
      <c r="F606" s="2" t="str" cm="1">
        <f t="array" ref="F606">_xlfn.IFS(Table1[[#This Row],[Age]]&lt;=16,"15-16",Table1[[#This Row],[Age]]&lt;19,"17-18")</f>
        <v>17-18</v>
      </c>
      <c r="G606" s="2" t="s">
        <v>757</v>
      </c>
      <c r="H606" s="3">
        <v>0.499</v>
      </c>
      <c r="I606" s="3">
        <v>0.90300000000000002</v>
      </c>
      <c r="J606" s="3" t="str" cm="1">
        <f t="array" ref="J606">_xlfn.IFS(Table1[[#This Row],[Overall Attendance]]&gt;=0.6,"Good",Table1[[#This Row],[Overall Attendance]]&lt;0.6,"Bad")</f>
        <v>Good</v>
      </c>
      <c r="K606" s="4">
        <v>82006</v>
      </c>
      <c r="L606" s="4">
        <f t="shared" si="18"/>
        <v>984072</v>
      </c>
      <c r="M606" s="4" t="str" cm="1">
        <f t="array" ref="M60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06" s="2">
        <v>4.4000000000000004</v>
      </c>
      <c r="O606" s="2" t="str" cm="1">
        <f t="array" ref="O606">_xlfn.IFS(Table1[[#This Row],[Distance to School (km)]]&gt;=5,"Far",Table1[[#This Row],[Distance to School (km)]]&lt;5,"Near")</f>
        <v>Near</v>
      </c>
      <c r="P606" s="5">
        <f t="shared" si="19"/>
        <v>0.29899999999999993</v>
      </c>
    </row>
    <row r="607" spans="1:16" ht="15" x14ac:dyDescent="0.25">
      <c r="A607" s="2" t="s">
        <v>612</v>
      </c>
      <c r="B607" s="2" t="s">
        <v>676</v>
      </c>
      <c r="C607" s="2" t="s">
        <v>651</v>
      </c>
      <c r="D607" s="2" t="s">
        <v>749</v>
      </c>
      <c r="E607" s="2">
        <v>17</v>
      </c>
      <c r="F607" s="2" t="str" cm="1">
        <f t="array" ref="F607">_xlfn.IFS(Table1[[#This Row],[Age]]&lt;=16,"15-16",Table1[[#This Row],[Age]]&lt;19,"17-18")</f>
        <v>17-18</v>
      </c>
      <c r="G607" s="2" t="s">
        <v>757</v>
      </c>
      <c r="H607" s="3">
        <v>0.69900000000000007</v>
      </c>
      <c r="I607" s="3">
        <v>0.80700000000000005</v>
      </c>
      <c r="J607" s="3" t="str" cm="1">
        <f t="array" ref="J607">_xlfn.IFS(Table1[[#This Row],[Overall Attendance]]&gt;=0.6,"Good",Table1[[#This Row],[Overall Attendance]]&lt;0.6,"Bad")</f>
        <v>Good</v>
      </c>
      <c r="K607" s="4">
        <v>170233</v>
      </c>
      <c r="L607" s="4">
        <f t="shared" si="18"/>
        <v>2042796</v>
      </c>
      <c r="M607" s="4" t="str" cm="1">
        <f t="array" ref="M60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07" s="2">
        <v>3.5</v>
      </c>
      <c r="O607" s="2" t="str" cm="1">
        <f t="array" ref="O607">_xlfn.IFS(Table1[[#This Row],[Distance to School (km)]]&gt;=5,"Far",Table1[[#This Row],[Distance to School (km)]]&lt;5,"Near")</f>
        <v>Near</v>
      </c>
      <c r="P607" s="5">
        <f t="shared" si="19"/>
        <v>0.24699999999999989</v>
      </c>
    </row>
    <row r="608" spans="1:16" ht="15" x14ac:dyDescent="0.25">
      <c r="A608" s="2" t="s">
        <v>613</v>
      </c>
      <c r="B608" s="2" t="s">
        <v>645</v>
      </c>
      <c r="C608" s="2" t="s">
        <v>688</v>
      </c>
      <c r="D608" s="2" t="s">
        <v>737</v>
      </c>
      <c r="E608" s="2">
        <v>18</v>
      </c>
      <c r="F608" s="2" t="str" cm="1">
        <f t="array" ref="F608">_xlfn.IFS(Table1[[#This Row],[Age]]&lt;=16,"15-16",Table1[[#This Row],[Age]]&lt;19,"17-18")</f>
        <v>17-18</v>
      </c>
      <c r="G608" s="2" t="s">
        <v>758</v>
      </c>
      <c r="H608" s="3">
        <v>0.61799999999999999</v>
      </c>
      <c r="I608" s="3">
        <v>0.77599999999999991</v>
      </c>
      <c r="J608" s="3" t="str" cm="1">
        <f t="array" ref="J608">_xlfn.IFS(Table1[[#This Row],[Overall Attendance]]&gt;=0.6,"Good",Table1[[#This Row],[Overall Attendance]]&lt;0.6,"Bad")</f>
        <v>Good</v>
      </c>
      <c r="K608" s="4">
        <v>112417</v>
      </c>
      <c r="L608" s="4">
        <f t="shared" si="18"/>
        <v>1349004</v>
      </c>
      <c r="M608" s="4" t="str" cm="1">
        <f t="array" ref="M60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08" s="2">
        <v>3.6</v>
      </c>
      <c r="O608" s="2" t="str" cm="1">
        <f t="array" ref="O608">_xlfn.IFS(Table1[[#This Row],[Distance to School (km)]]&gt;=5,"Far",Table1[[#This Row],[Distance to School (km)]]&lt;5,"Near")</f>
        <v>Near</v>
      </c>
      <c r="P608" s="5">
        <f t="shared" si="19"/>
        <v>0.30300000000000005</v>
      </c>
    </row>
    <row r="609" spans="1:16" ht="15" x14ac:dyDescent="0.25">
      <c r="A609" s="2" t="s">
        <v>614</v>
      </c>
      <c r="B609" s="2" t="s">
        <v>646</v>
      </c>
      <c r="C609" s="2" t="s">
        <v>724</v>
      </c>
      <c r="D609" s="2" t="s">
        <v>742</v>
      </c>
      <c r="E609" s="2">
        <v>18</v>
      </c>
      <c r="F609" s="2" t="str" cm="1">
        <f t="array" ref="F609">_xlfn.IFS(Table1[[#This Row],[Age]]&lt;=16,"15-16",Table1[[#This Row],[Age]]&lt;19,"17-18")</f>
        <v>17-18</v>
      </c>
      <c r="G609" s="2" t="s">
        <v>758</v>
      </c>
      <c r="H609" s="3">
        <v>0.56100000000000005</v>
      </c>
      <c r="I609" s="3">
        <v>0.75099999999999989</v>
      </c>
      <c r="J609" s="3" t="str" cm="1">
        <f t="array" ref="J609">_xlfn.IFS(Table1[[#This Row],[Overall Attendance]]&gt;=0.6,"Good",Table1[[#This Row],[Overall Attendance]]&lt;0.6,"Bad")</f>
        <v>Good</v>
      </c>
      <c r="K609" s="4">
        <v>156743</v>
      </c>
      <c r="L609" s="4">
        <f t="shared" si="18"/>
        <v>1880916</v>
      </c>
      <c r="M609" s="4" t="str" cm="1">
        <f t="array" ref="M60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09" s="2">
        <v>2.8</v>
      </c>
      <c r="O609" s="2" t="str" cm="1">
        <f t="array" ref="O609">_xlfn.IFS(Table1[[#This Row],[Distance to School (km)]]&gt;=5,"Far",Table1[[#This Row],[Distance to School (km)]]&lt;5,"Near")</f>
        <v>Near</v>
      </c>
      <c r="P609" s="5">
        <f t="shared" si="19"/>
        <v>0.34400000000000008</v>
      </c>
    </row>
    <row r="610" spans="1:16" ht="15" hidden="1" x14ac:dyDescent="0.25">
      <c r="A610" s="2" t="s">
        <v>615</v>
      </c>
      <c r="B610" s="2" t="s">
        <v>642</v>
      </c>
      <c r="C610" s="2" t="s">
        <v>707</v>
      </c>
      <c r="D610" s="2" t="s">
        <v>744</v>
      </c>
      <c r="E610" s="2">
        <v>16</v>
      </c>
      <c r="F610" s="2" t="str" cm="1">
        <f t="array" ref="F610">_xlfn.IFS(Table1[[#This Row],[Age]]&lt;=16,"15-16",Table1[[#This Row],[Age]]&lt;19,"17-18")</f>
        <v>15-16</v>
      </c>
      <c r="G610" s="2" t="s">
        <v>758</v>
      </c>
      <c r="H610" s="3">
        <v>0.54799999999999993</v>
      </c>
      <c r="I610" s="3">
        <v>0.70900000000000007</v>
      </c>
      <c r="J610" s="3" t="str" cm="1">
        <f t="array" ref="J610">_xlfn.IFS(Table1[[#This Row],[Overall Attendance]]&gt;=0.6,"Good",Table1[[#This Row],[Overall Attendance]]&lt;0.6,"Bad")</f>
        <v>Good</v>
      </c>
      <c r="K610" s="4">
        <v>51220</v>
      </c>
      <c r="L610" s="4">
        <f t="shared" si="18"/>
        <v>614640</v>
      </c>
      <c r="M610" s="4" t="str" cm="1">
        <f t="array" ref="M61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10" s="2">
        <v>7.1</v>
      </c>
      <c r="O610" s="2" t="str" cm="1">
        <f t="array" ref="O610">_xlfn.IFS(Table1[[#This Row],[Distance to School (km)]]&gt;=5,"Far",Table1[[#This Row],[Distance to School (km)]]&lt;5,"Near")</f>
        <v>Far</v>
      </c>
      <c r="P610" s="5">
        <f t="shared" si="19"/>
        <v>0.37149999999999994</v>
      </c>
    </row>
    <row r="611" spans="1:16" ht="15" x14ac:dyDescent="0.25">
      <c r="A611" s="2" t="s">
        <v>616</v>
      </c>
      <c r="B611" s="2" t="s">
        <v>653</v>
      </c>
      <c r="C611" s="2" t="s">
        <v>704</v>
      </c>
      <c r="D611" s="2" t="s">
        <v>712</v>
      </c>
      <c r="E611" s="2">
        <v>17</v>
      </c>
      <c r="F611" s="2" t="str" cm="1">
        <f t="array" ref="F611">_xlfn.IFS(Table1[[#This Row],[Age]]&lt;=16,"15-16",Table1[[#This Row],[Age]]&lt;19,"17-18")</f>
        <v>17-18</v>
      </c>
      <c r="G611" s="2" t="s">
        <v>758</v>
      </c>
      <c r="H611" s="3">
        <v>0.70499999999999996</v>
      </c>
      <c r="I611" s="3">
        <v>0.63800000000000001</v>
      </c>
      <c r="J611" s="3" t="str" cm="1">
        <f t="array" ref="J611">_xlfn.IFS(Table1[[#This Row],[Overall Attendance]]&gt;=0.6,"Good",Table1[[#This Row],[Overall Attendance]]&lt;0.6,"Bad")</f>
        <v>Good</v>
      </c>
      <c r="K611" s="4">
        <v>49715</v>
      </c>
      <c r="L611" s="4">
        <f t="shared" si="18"/>
        <v>596580</v>
      </c>
      <c r="M611" s="4" t="str" cm="1">
        <f t="array" ref="M61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11" s="2">
        <v>6.5</v>
      </c>
      <c r="O611" s="2" t="str" cm="1">
        <f t="array" ref="O611">_xlfn.IFS(Table1[[#This Row],[Distance to School (km)]]&gt;=5,"Far",Table1[[#This Row],[Distance to School (km)]]&lt;5,"Near")</f>
        <v>Far</v>
      </c>
      <c r="P611" s="5">
        <f t="shared" si="19"/>
        <v>0.32850000000000001</v>
      </c>
    </row>
    <row r="612" spans="1:16" ht="15" x14ac:dyDescent="0.25">
      <c r="A612" s="2" t="s">
        <v>617</v>
      </c>
      <c r="B612" s="2" t="s">
        <v>668</v>
      </c>
      <c r="C612" s="2" t="s">
        <v>706</v>
      </c>
      <c r="D612" s="2" t="s">
        <v>751</v>
      </c>
      <c r="E612" s="2">
        <v>18</v>
      </c>
      <c r="F612" s="2" t="str" cm="1">
        <f t="array" ref="F612">_xlfn.IFS(Table1[[#This Row],[Age]]&lt;=16,"15-16",Table1[[#This Row],[Age]]&lt;19,"17-18")</f>
        <v>17-18</v>
      </c>
      <c r="G612" s="2" t="s">
        <v>758</v>
      </c>
      <c r="H612" s="3">
        <v>0.61499999999999999</v>
      </c>
      <c r="I612" s="3">
        <v>0.65</v>
      </c>
      <c r="J612" s="3" t="str" cm="1">
        <f t="array" ref="J612">_xlfn.IFS(Table1[[#This Row],[Overall Attendance]]&gt;=0.6,"Good",Table1[[#This Row],[Overall Attendance]]&lt;0.6,"Bad")</f>
        <v>Good</v>
      </c>
      <c r="K612" s="4">
        <v>47660</v>
      </c>
      <c r="L612" s="4">
        <f t="shared" si="18"/>
        <v>571920</v>
      </c>
      <c r="M612" s="4" t="str" cm="1">
        <f t="array" ref="M612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12" s="2">
        <v>7.8</v>
      </c>
      <c r="O612" s="2" t="str" cm="1">
        <f t="array" ref="O612">_xlfn.IFS(Table1[[#This Row],[Distance to School (km)]]&gt;=5,"Far",Table1[[#This Row],[Distance to School (km)]]&lt;5,"Near")</f>
        <v>Far</v>
      </c>
      <c r="P612" s="5">
        <f t="shared" si="19"/>
        <v>0.36749999999999994</v>
      </c>
    </row>
    <row r="613" spans="1:16" ht="15" hidden="1" x14ac:dyDescent="0.25">
      <c r="A613" s="2" t="s">
        <v>618</v>
      </c>
      <c r="B613" s="2" t="s">
        <v>683</v>
      </c>
      <c r="C613" s="2" t="s">
        <v>711</v>
      </c>
      <c r="D613" s="2" t="s">
        <v>641</v>
      </c>
      <c r="E613" s="2">
        <v>16</v>
      </c>
      <c r="F613" s="2" t="str" cm="1">
        <f t="array" ref="F613">_xlfn.IFS(Table1[[#This Row],[Age]]&lt;=16,"15-16",Table1[[#This Row],[Age]]&lt;19,"17-18")</f>
        <v>15-16</v>
      </c>
      <c r="G613" s="2" t="s">
        <v>758</v>
      </c>
      <c r="H613" s="3">
        <v>0.71700000000000008</v>
      </c>
      <c r="I613" s="3">
        <v>0.94900000000000007</v>
      </c>
      <c r="J613" s="3" t="str" cm="1">
        <f t="array" ref="J613">_xlfn.IFS(Table1[[#This Row],[Overall Attendance]]&gt;=0.6,"Good",Table1[[#This Row],[Overall Attendance]]&lt;0.6,"Bad")</f>
        <v>Good</v>
      </c>
      <c r="K613" s="4">
        <v>76599</v>
      </c>
      <c r="L613" s="4">
        <f t="shared" si="18"/>
        <v>919188</v>
      </c>
      <c r="M613" s="4" t="str" cm="1">
        <f t="array" ref="M61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13" s="2">
        <v>2.7</v>
      </c>
      <c r="O613" s="2" t="str" cm="1">
        <f t="array" ref="O613">_xlfn.IFS(Table1[[#This Row],[Distance to School (km)]]&gt;=5,"Far",Table1[[#This Row],[Distance to School (km)]]&lt;5,"Near")</f>
        <v>Near</v>
      </c>
      <c r="P613" s="5">
        <f t="shared" si="19"/>
        <v>0.16699999999999993</v>
      </c>
    </row>
    <row r="614" spans="1:16" ht="15" x14ac:dyDescent="0.25">
      <c r="A614" s="2" t="s">
        <v>619</v>
      </c>
      <c r="B614" s="2" t="s">
        <v>672</v>
      </c>
      <c r="C614" s="2" t="s">
        <v>697</v>
      </c>
      <c r="D614" s="2" t="s">
        <v>712</v>
      </c>
      <c r="E614" s="2">
        <v>17</v>
      </c>
      <c r="F614" s="2" t="str" cm="1">
        <f t="array" ref="F614">_xlfn.IFS(Table1[[#This Row],[Age]]&lt;=16,"15-16",Table1[[#This Row],[Age]]&lt;19,"17-18")</f>
        <v>17-18</v>
      </c>
      <c r="G614" s="2" t="s">
        <v>758</v>
      </c>
      <c r="H614" s="3">
        <v>0.745</v>
      </c>
      <c r="I614" s="3">
        <v>0.81400000000000006</v>
      </c>
      <c r="J614" s="3" t="str" cm="1">
        <f t="array" ref="J614">_xlfn.IFS(Table1[[#This Row],[Overall Attendance]]&gt;=0.6,"Good",Table1[[#This Row],[Overall Attendance]]&lt;0.6,"Bad")</f>
        <v>Good</v>
      </c>
      <c r="K614" s="4">
        <v>126476</v>
      </c>
      <c r="L614" s="4">
        <f t="shared" si="18"/>
        <v>1517712</v>
      </c>
      <c r="M614" s="4" t="str" cm="1">
        <f t="array" ref="M61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14" s="2">
        <v>2.1</v>
      </c>
      <c r="O614" s="2" t="str" cm="1">
        <f t="array" ref="O614">_xlfn.IFS(Table1[[#This Row],[Distance to School (km)]]&gt;=5,"Far",Table1[[#This Row],[Distance to School (km)]]&lt;5,"Near")</f>
        <v>Near</v>
      </c>
      <c r="P614" s="5">
        <f t="shared" si="19"/>
        <v>0.22049999999999992</v>
      </c>
    </row>
    <row r="615" spans="1:16" ht="15" x14ac:dyDescent="0.25">
      <c r="A615" s="2" t="s">
        <v>620</v>
      </c>
      <c r="B615" s="2" t="s">
        <v>669</v>
      </c>
      <c r="C615" s="2" t="s">
        <v>723</v>
      </c>
      <c r="D615" s="2" t="s">
        <v>752</v>
      </c>
      <c r="E615" s="2">
        <v>17</v>
      </c>
      <c r="F615" s="2" t="str" cm="1">
        <f t="array" ref="F615">_xlfn.IFS(Table1[[#This Row],[Age]]&lt;=16,"15-16",Table1[[#This Row],[Age]]&lt;19,"17-18")</f>
        <v>17-18</v>
      </c>
      <c r="G615" s="2" t="s">
        <v>758</v>
      </c>
      <c r="H615" s="3">
        <v>0.59799999999999998</v>
      </c>
      <c r="I615" s="3">
        <v>0.79700000000000004</v>
      </c>
      <c r="J615" s="3" t="str" cm="1">
        <f t="array" ref="J615">_xlfn.IFS(Table1[[#This Row],[Overall Attendance]]&gt;=0.6,"Good",Table1[[#This Row],[Overall Attendance]]&lt;0.6,"Bad")</f>
        <v>Good</v>
      </c>
      <c r="K615" s="4">
        <v>43674</v>
      </c>
      <c r="L615" s="4">
        <f t="shared" si="18"/>
        <v>524088</v>
      </c>
      <c r="M615" s="4" t="str" cm="1">
        <f t="array" ref="M61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15" s="2">
        <v>4.0999999999999996</v>
      </c>
      <c r="O615" s="2" t="str" cm="1">
        <f t="array" ref="O615">_xlfn.IFS(Table1[[#This Row],[Distance to School (km)]]&gt;=5,"Far",Table1[[#This Row],[Distance to School (km)]]&lt;5,"Near")</f>
        <v>Near</v>
      </c>
      <c r="P615" s="5">
        <f t="shared" si="19"/>
        <v>0.30249999999999999</v>
      </c>
    </row>
    <row r="616" spans="1:16" ht="15" hidden="1" x14ac:dyDescent="0.25">
      <c r="A616" s="2" t="s">
        <v>621</v>
      </c>
      <c r="B616" s="2" t="s">
        <v>654</v>
      </c>
      <c r="C616" s="2" t="s">
        <v>727</v>
      </c>
      <c r="D616" s="2" t="s">
        <v>749</v>
      </c>
      <c r="E616" s="2">
        <v>15</v>
      </c>
      <c r="F616" s="2" t="str" cm="1">
        <f t="array" ref="F616">_xlfn.IFS(Table1[[#This Row],[Age]]&lt;=16,"15-16",Table1[[#This Row],[Age]]&lt;19,"17-18")</f>
        <v>15-16</v>
      </c>
      <c r="G616" s="2" t="s">
        <v>757</v>
      </c>
      <c r="H616" s="3">
        <v>0.502</v>
      </c>
      <c r="I616" s="3">
        <v>0.63600000000000001</v>
      </c>
      <c r="J616" s="3" t="str" cm="1">
        <f t="array" ref="J616">_xlfn.IFS(Table1[[#This Row],[Overall Attendance]]&gt;=0.6,"Good",Table1[[#This Row],[Overall Attendance]]&lt;0.6,"Bad")</f>
        <v>Good</v>
      </c>
      <c r="K616" s="4">
        <v>33005</v>
      </c>
      <c r="L616" s="4">
        <f t="shared" si="18"/>
        <v>396060</v>
      </c>
      <c r="M616" s="4" t="str" cm="1">
        <f t="array" ref="M616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16" s="2">
        <v>7.1</v>
      </c>
      <c r="O616" s="2" t="str" cm="1">
        <f t="array" ref="O616">_xlfn.IFS(Table1[[#This Row],[Distance to School (km)]]&gt;=5,"Far",Table1[[#This Row],[Distance to School (km)]]&lt;5,"Near")</f>
        <v>Far</v>
      </c>
      <c r="P616" s="5">
        <f t="shared" si="19"/>
        <v>0.43100000000000005</v>
      </c>
    </row>
    <row r="617" spans="1:16" ht="15" hidden="1" x14ac:dyDescent="0.25">
      <c r="A617" s="2" t="s">
        <v>622</v>
      </c>
      <c r="B617" s="2" t="s">
        <v>670</v>
      </c>
      <c r="C617" s="2" t="s">
        <v>719</v>
      </c>
      <c r="D617" s="2" t="s">
        <v>736</v>
      </c>
      <c r="E617" s="2">
        <v>16</v>
      </c>
      <c r="F617" s="2" t="str" cm="1">
        <f t="array" ref="F617">_xlfn.IFS(Table1[[#This Row],[Age]]&lt;=16,"15-16",Table1[[#This Row],[Age]]&lt;19,"17-18")</f>
        <v>15-16</v>
      </c>
      <c r="G617" s="2" t="s">
        <v>758</v>
      </c>
      <c r="H617" s="3">
        <v>0.45299999999999996</v>
      </c>
      <c r="I617" s="3">
        <v>0.71900000000000008</v>
      </c>
      <c r="J617" s="3" t="str" cm="1">
        <f t="array" ref="J617">_xlfn.IFS(Table1[[#This Row],[Overall Attendance]]&gt;=0.6,"Good",Table1[[#This Row],[Overall Attendance]]&lt;0.6,"Bad")</f>
        <v>Good</v>
      </c>
      <c r="K617" s="4">
        <v>393263</v>
      </c>
      <c r="L617" s="4">
        <f t="shared" si="18"/>
        <v>4719156</v>
      </c>
      <c r="M617" s="4" t="str" cm="1">
        <f t="array" ref="M61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17" s="2">
        <v>9.8000000000000007</v>
      </c>
      <c r="O617" s="2" t="str" cm="1">
        <f t="array" ref="O617">_xlfn.IFS(Table1[[#This Row],[Distance to School (km)]]&gt;=5,"Far",Table1[[#This Row],[Distance to School (km)]]&lt;5,"Near")</f>
        <v>Far</v>
      </c>
      <c r="P617" s="5">
        <f t="shared" si="19"/>
        <v>0.41399999999999992</v>
      </c>
    </row>
    <row r="618" spans="1:16" ht="15" x14ac:dyDescent="0.25">
      <c r="A618" s="2" t="s">
        <v>623</v>
      </c>
      <c r="B618" s="2" t="s">
        <v>662</v>
      </c>
      <c r="C618" s="2" t="s">
        <v>724</v>
      </c>
      <c r="D618" s="2" t="s">
        <v>743</v>
      </c>
      <c r="E618" s="2">
        <v>17</v>
      </c>
      <c r="F618" s="2" t="str" cm="1">
        <f t="array" ref="F618">_xlfn.IFS(Table1[[#This Row],[Age]]&lt;=16,"15-16",Table1[[#This Row],[Age]]&lt;19,"17-18")</f>
        <v>17-18</v>
      </c>
      <c r="G618" s="2" t="s">
        <v>758</v>
      </c>
      <c r="H618" s="3">
        <v>0.76400000000000001</v>
      </c>
      <c r="I618" s="3">
        <v>0.98</v>
      </c>
      <c r="J618" s="3" t="str" cm="1">
        <f t="array" ref="J618">_xlfn.IFS(Table1[[#This Row],[Overall Attendance]]&gt;=0.6,"Good",Table1[[#This Row],[Overall Attendance]]&lt;0.6,"Bad")</f>
        <v>Good</v>
      </c>
      <c r="K618" s="4">
        <v>364400</v>
      </c>
      <c r="L618" s="4">
        <f t="shared" si="18"/>
        <v>4372800</v>
      </c>
      <c r="M618" s="4" t="str" cm="1">
        <f t="array" ref="M618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18" s="2">
        <v>6.1</v>
      </c>
      <c r="O618" s="2" t="str" cm="1">
        <f t="array" ref="O618">_xlfn.IFS(Table1[[#This Row],[Distance to School (km)]]&gt;=5,"Far",Table1[[#This Row],[Distance to School (km)]]&lt;5,"Near")</f>
        <v>Far</v>
      </c>
      <c r="P618" s="5">
        <f t="shared" si="19"/>
        <v>0.128</v>
      </c>
    </row>
    <row r="619" spans="1:16" ht="15" hidden="1" x14ac:dyDescent="0.25">
      <c r="A619" s="2" t="s">
        <v>624</v>
      </c>
      <c r="B619" s="2" t="s">
        <v>656</v>
      </c>
      <c r="C619" s="2" t="s">
        <v>735</v>
      </c>
      <c r="D619" s="2" t="s">
        <v>750</v>
      </c>
      <c r="E619" s="2">
        <v>15</v>
      </c>
      <c r="F619" s="2" t="str" cm="1">
        <f t="array" ref="F619">_xlfn.IFS(Table1[[#This Row],[Age]]&lt;=16,"15-16",Table1[[#This Row],[Age]]&lt;19,"17-18")</f>
        <v>15-16</v>
      </c>
      <c r="G619" s="2" t="s">
        <v>757</v>
      </c>
      <c r="H619" s="3">
        <v>0.53100000000000003</v>
      </c>
      <c r="I619" s="3">
        <v>0.83200000000000007</v>
      </c>
      <c r="J619" s="3" t="str" cm="1">
        <f t="array" ref="J619">_xlfn.IFS(Table1[[#This Row],[Overall Attendance]]&gt;=0.6,"Good",Table1[[#This Row],[Overall Attendance]]&lt;0.6,"Bad")</f>
        <v>Good</v>
      </c>
      <c r="K619" s="4">
        <v>147579</v>
      </c>
      <c r="L619" s="4">
        <f t="shared" si="18"/>
        <v>1770948</v>
      </c>
      <c r="M619" s="4" t="str" cm="1">
        <f t="array" ref="M61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19" s="2">
        <v>9.9</v>
      </c>
      <c r="O619" s="2" t="str" cm="1">
        <f t="array" ref="O619">_xlfn.IFS(Table1[[#This Row],[Distance to School (km)]]&gt;=5,"Far",Table1[[#This Row],[Distance to School (km)]]&lt;5,"Near")</f>
        <v>Far</v>
      </c>
      <c r="P619" s="5">
        <f t="shared" si="19"/>
        <v>0.31850000000000001</v>
      </c>
    </row>
    <row r="620" spans="1:16" ht="15" x14ac:dyDescent="0.25">
      <c r="A620" s="2" t="s">
        <v>625</v>
      </c>
      <c r="B620" s="2" t="s">
        <v>663</v>
      </c>
      <c r="C620" s="2" t="s">
        <v>708</v>
      </c>
      <c r="D620" s="2" t="s">
        <v>745</v>
      </c>
      <c r="E620" s="2">
        <v>17</v>
      </c>
      <c r="F620" s="2" t="str" cm="1">
        <f t="array" ref="F620">_xlfn.IFS(Table1[[#This Row],[Age]]&lt;=16,"15-16",Table1[[#This Row],[Age]]&lt;19,"17-18")</f>
        <v>17-18</v>
      </c>
      <c r="G620" s="2" t="s">
        <v>757</v>
      </c>
      <c r="H620" s="3">
        <v>0.54299999999999993</v>
      </c>
      <c r="I620" s="3">
        <v>0.65599999999999992</v>
      </c>
      <c r="J620" s="3" t="str" cm="1">
        <f t="array" ref="J620">_xlfn.IFS(Table1[[#This Row],[Overall Attendance]]&gt;=0.6,"Good",Table1[[#This Row],[Overall Attendance]]&lt;0.6,"Bad")</f>
        <v>Good</v>
      </c>
      <c r="K620" s="4">
        <v>172448</v>
      </c>
      <c r="L620" s="4">
        <f t="shared" si="18"/>
        <v>2069376</v>
      </c>
      <c r="M620" s="4" t="str" cm="1">
        <f t="array" ref="M620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20" s="2">
        <v>7.8</v>
      </c>
      <c r="O620" s="2" t="str" cm="1">
        <f t="array" ref="O620">_xlfn.IFS(Table1[[#This Row],[Distance to School (km)]]&gt;=5,"Far",Table1[[#This Row],[Distance to School (km)]]&lt;5,"Near")</f>
        <v>Far</v>
      </c>
      <c r="P620" s="5">
        <f t="shared" si="19"/>
        <v>0.40050000000000008</v>
      </c>
    </row>
    <row r="621" spans="1:16" ht="15" hidden="1" x14ac:dyDescent="0.25">
      <c r="A621" s="2" t="s">
        <v>626</v>
      </c>
      <c r="B621" s="2" t="s">
        <v>668</v>
      </c>
      <c r="C621" s="2" t="s">
        <v>668</v>
      </c>
      <c r="D621" s="2" t="s">
        <v>744</v>
      </c>
      <c r="E621" s="2">
        <v>16</v>
      </c>
      <c r="F621" s="2" t="str" cm="1">
        <f t="array" ref="F621">_xlfn.IFS(Table1[[#This Row],[Age]]&lt;=16,"15-16",Table1[[#This Row],[Age]]&lt;19,"17-18")</f>
        <v>15-16</v>
      </c>
      <c r="G621" s="2" t="s">
        <v>757</v>
      </c>
      <c r="H621" s="3">
        <v>0.41899999999999998</v>
      </c>
      <c r="I621" s="3">
        <v>0.96099999999999997</v>
      </c>
      <c r="J621" s="3" t="str" cm="1">
        <f t="array" ref="J621">_xlfn.IFS(Table1[[#This Row],[Overall Attendance]]&gt;=0.6,"Good",Table1[[#This Row],[Overall Attendance]]&lt;0.6,"Bad")</f>
        <v>Good</v>
      </c>
      <c r="K621" s="4">
        <v>66747</v>
      </c>
      <c r="L621" s="4">
        <f t="shared" si="18"/>
        <v>800964</v>
      </c>
      <c r="M621" s="4" t="str" cm="1">
        <f t="array" ref="M621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21" s="2">
        <v>3.9</v>
      </c>
      <c r="O621" s="2" t="str" cm="1">
        <f t="array" ref="O621">_xlfn.IFS(Table1[[#This Row],[Distance to School (km)]]&gt;=5,"Far",Table1[[#This Row],[Distance to School (km)]]&lt;5,"Near")</f>
        <v>Near</v>
      </c>
      <c r="P621" s="5">
        <f t="shared" si="19"/>
        <v>0.31000000000000005</v>
      </c>
    </row>
    <row r="622" spans="1:16" ht="15" x14ac:dyDescent="0.25">
      <c r="A622" s="2" t="s">
        <v>627</v>
      </c>
      <c r="B622" s="2" t="s">
        <v>667</v>
      </c>
      <c r="C622" s="2" t="s">
        <v>712</v>
      </c>
      <c r="D622" s="2" t="s">
        <v>739</v>
      </c>
      <c r="E622" s="2">
        <v>17</v>
      </c>
      <c r="F622" s="2" t="str" cm="1">
        <f t="array" ref="F622">_xlfn.IFS(Table1[[#This Row],[Age]]&lt;=16,"15-16",Table1[[#This Row],[Age]]&lt;19,"17-18")</f>
        <v>17-18</v>
      </c>
      <c r="G622" s="2" t="s">
        <v>758</v>
      </c>
      <c r="H622" s="3">
        <v>0.49</v>
      </c>
      <c r="I622" s="3">
        <v>0.68099999999999994</v>
      </c>
      <c r="J622" s="3" t="str" cm="1">
        <f t="array" ref="J622">_xlfn.IFS(Table1[[#This Row],[Overall Attendance]]&gt;=0.6,"Good",Table1[[#This Row],[Overall Attendance]]&lt;0.6,"Bad")</f>
        <v>Good</v>
      </c>
      <c r="K622" s="4">
        <v>323494</v>
      </c>
      <c r="L622" s="4">
        <f t="shared" si="18"/>
        <v>3881928</v>
      </c>
      <c r="M622" s="4" t="str" cm="1">
        <f t="array" ref="M62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22" s="2">
        <v>11.2</v>
      </c>
      <c r="O622" s="2" t="str" cm="1">
        <f t="array" ref="O622">_xlfn.IFS(Table1[[#This Row],[Distance to School (km)]]&gt;=5,"Far",Table1[[#This Row],[Distance to School (km)]]&lt;5,"Near")</f>
        <v>Far</v>
      </c>
      <c r="P622" s="5">
        <f t="shared" si="19"/>
        <v>0.41450000000000009</v>
      </c>
    </row>
    <row r="623" spans="1:16" ht="15" hidden="1" x14ac:dyDescent="0.25">
      <c r="A623" s="2" t="s">
        <v>628</v>
      </c>
      <c r="B623" s="2" t="s">
        <v>680</v>
      </c>
      <c r="C623" s="2" t="s">
        <v>711</v>
      </c>
      <c r="D623" s="2" t="s">
        <v>752</v>
      </c>
      <c r="E623" s="2">
        <v>15</v>
      </c>
      <c r="F623" s="2" t="str" cm="1">
        <f t="array" ref="F623">_xlfn.IFS(Table1[[#This Row],[Age]]&lt;=16,"15-16",Table1[[#This Row],[Age]]&lt;19,"17-18")</f>
        <v>15-16</v>
      </c>
      <c r="G623" s="2" t="s">
        <v>758</v>
      </c>
      <c r="H623" s="3">
        <v>0.57499999999999996</v>
      </c>
      <c r="I623" s="3">
        <v>0.70700000000000007</v>
      </c>
      <c r="J623" s="3" t="str" cm="1">
        <f t="array" ref="J623">_xlfn.IFS(Table1[[#This Row],[Overall Attendance]]&gt;=0.6,"Good",Table1[[#This Row],[Overall Attendance]]&lt;0.6,"Bad")</f>
        <v>Good</v>
      </c>
      <c r="K623" s="4">
        <v>178921</v>
      </c>
      <c r="L623" s="4">
        <f t="shared" si="18"/>
        <v>2147052</v>
      </c>
      <c r="M623" s="4" t="str" cm="1">
        <f t="array" ref="M623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23" s="2">
        <v>5.7</v>
      </c>
      <c r="O623" s="2" t="str" cm="1">
        <f t="array" ref="O623">_xlfn.IFS(Table1[[#This Row],[Distance to School (km)]]&gt;=5,"Far",Table1[[#This Row],[Distance to School (km)]]&lt;5,"Near")</f>
        <v>Far</v>
      </c>
      <c r="P623" s="5">
        <f t="shared" si="19"/>
        <v>0.35899999999999999</v>
      </c>
    </row>
    <row r="624" spans="1:16" ht="15" hidden="1" x14ac:dyDescent="0.25">
      <c r="A624" s="2" t="s">
        <v>629</v>
      </c>
      <c r="B624" s="2" t="s">
        <v>677</v>
      </c>
      <c r="C624" s="2" t="s">
        <v>700</v>
      </c>
      <c r="D624" s="2" t="s">
        <v>752</v>
      </c>
      <c r="E624" s="2">
        <v>15</v>
      </c>
      <c r="F624" s="2" t="str" cm="1">
        <f t="array" ref="F624">_xlfn.IFS(Table1[[#This Row],[Age]]&lt;=16,"15-16",Table1[[#This Row],[Age]]&lt;19,"17-18")</f>
        <v>15-16</v>
      </c>
      <c r="G624" s="2" t="s">
        <v>757</v>
      </c>
      <c r="H624" s="3">
        <v>0.23</v>
      </c>
      <c r="I624" s="3">
        <v>0.23</v>
      </c>
      <c r="J624" s="3" t="str" cm="1">
        <f t="array" ref="J624">_xlfn.IFS(Table1[[#This Row],[Overall Attendance]]&gt;=0.6,"Good",Table1[[#This Row],[Overall Attendance]]&lt;0.6,"Bad")</f>
        <v>Bad</v>
      </c>
      <c r="K624" s="4">
        <v>152516</v>
      </c>
      <c r="L624" s="4">
        <f t="shared" si="18"/>
        <v>1830192</v>
      </c>
      <c r="M624" s="4" t="str" cm="1">
        <f t="array" ref="M62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24" s="2">
        <v>4.0999999999999996</v>
      </c>
      <c r="O624" s="2" t="str" cm="1">
        <f t="array" ref="O624">_xlfn.IFS(Table1[[#This Row],[Distance to School (km)]]&gt;=5,"Far",Table1[[#This Row],[Distance to School (km)]]&lt;5,"Near")</f>
        <v>Near</v>
      </c>
      <c r="P624" s="5">
        <f t="shared" si="19"/>
        <v>0.77</v>
      </c>
    </row>
    <row r="625" spans="1:16" ht="15" x14ac:dyDescent="0.25">
      <c r="A625" s="2" t="s">
        <v>630</v>
      </c>
      <c r="B625" s="2" t="s">
        <v>668</v>
      </c>
      <c r="C625" s="2" t="s">
        <v>701</v>
      </c>
      <c r="D625" s="2" t="s">
        <v>756</v>
      </c>
      <c r="E625" s="2">
        <v>17</v>
      </c>
      <c r="F625" s="2" t="str" cm="1">
        <f t="array" ref="F625">_xlfn.IFS(Table1[[#This Row],[Age]]&lt;=16,"15-16",Table1[[#This Row],[Age]]&lt;19,"17-18")</f>
        <v>17-18</v>
      </c>
      <c r="G625" s="2" t="s">
        <v>757</v>
      </c>
      <c r="H625" s="3">
        <v>0.57299999999999995</v>
      </c>
      <c r="I625" s="3">
        <v>0.65400000000000003</v>
      </c>
      <c r="J625" s="3" t="str" cm="1">
        <f t="array" ref="J625">_xlfn.IFS(Table1[[#This Row],[Overall Attendance]]&gt;=0.6,"Good",Table1[[#This Row],[Overall Attendance]]&lt;0.6,"Bad")</f>
        <v>Good</v>
      </c>
      <c r="K625" s="4">
        <v>379767</v>
      </c>
      <c r="L625" s="4">
        <f t="shared" si="18"/>
        <v>4557204</v>
      </c>
      <c r="M625" s="4" t="str" cm="1">
        <f t="array" ref="M625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25" s="2">
        <v>9.6</v>
      </c>
      <c r="O625" s="2" t="str" cm="1">
        <f t="array" ref="O625">_xlfn.IFS(Table1[[#This Row],[Distance to School (km)]]&gt;=5,"Far",Table1[[#This Row],[Distance to School (km)]]&lt;5,"Near")</f>
        <v>Far</v>
      </c>
      <c r="P625" s="5">
        <f t="shared" si="19"/>
        <v>0.38650000000000007</v>
      </c>
    </row>
    <row r="626" spans="1:16" ht="15" x14ac:dyDescent="0.25">
      <c r="A626" s="2" t="s">
        <v>631</v>
      </c>
      <c r="B626" s="2" t="s">
        <v>648</v>
      </c>
      <c r="C626" s="2" t="s">
        <v>719</v>
      </c>
      <c r="D626" s="2" t="s">
        <v>741</v>
      </c>
      <c r="E626" s="2">
        <v>18</v>
      </c>
      <c r="F626" s="2" t="str" cm="1">
        <f t="array" ref="F626">_xlfn.IFS(Table1[[#This Row],[Age]]&lt;=16,"15-16",Table1[[#This Row],[Age]]&lt;19,"17-18")</f>
        <v>17-18</v>
      </c>
      <c r="G626" s="2" t="s">
        <v>758</v>
      </c>
      <c r="H626" s="3">
        <v>0.69400000000000006</v>
      </c>
      <c r="I626" s="3">
        <v>0.93900000000000006</v>
      </c>
      <c r="J626" s="3" t="str" cm="1">
        <f t="array" ref="J626">_xlfn.IFS(Table1[[#This Row],[Overall Attendance]]&gt;=0.6,"Good",Table1[[#This Row],[Overall Attendance]]&lt;0.6,"Bad")</f>
        <v>Good</v>
      </c>
      <c r="K626" s="4">
        <v>222125</v>
      </c>
      <c r="L626" s="4">
        <f t="shared" si="18"/>
        <v>2665500</v>
      </c>
      <c r="M626" s="4" t="str" cm="1">
        <f t="array" ref="M626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26" s="2">
        <v>4.7</v>
      </c>
      <c r="O626" s="2" t="str" cm="1">
        <f t="array" ref="O626">_xlfn.IFS(Table1[[#This Row],[Distance to School (km)]]&gt;=5,"Far",Table1[[#This Row],[Distance to School (km)]]&lt;5,"Near")</f>
        <v>Near</v>
      </c>
      <c r="P626" s="5">
        <f t="shared" si="19"/>
        <v>0.1835</v>
      </c>
    </row>
    <row r="627" spans="1:16" ht="15" x14ac:dyDescent="0.25">
      <c r="A627" s="2" t="s">
        <v>632</v>
      </c>
      <c r="B627" s="2" t="s">
        <v>675</v>
      </c>
      <c r="C627" s="2" t="s">
        <v>711</v>
      </c>
      <c r="D627" s="2" t="s">
        <v>736</v>
      </c>
      <c r="E627" s="2">
        <v>18</v>
      </c>
      <c r="F627" s="2" t="str" cm="1">
        <f t="array" ref="F627">_xlfn.IFS(Table1[[#This Row],[Age]]&lt;=16,"15-16",Table1[[#This Row],[Age]]&lt;19,"17-18")</f>
        <v>17-18</v>
      </c>
      <c r="G627" s="2" t="s">
        <v>758</v>
      </c>
      <c r="H627" s="3">
        <v>0.64599999999999991</v>
      </c>
      <c r="I627" s="3">
        <v>0.82299999999999995</v>
      </c>
      <c r="J627" s="3" t="str" cm="1">
        <f t="array" ref="J627">_xlfn.IFS(Table1[[#This Row],[Overall Attendance]]&gt;=0.6,"Good",Table1[[#This Row],[Overall Attendance]]&lt;0.6,"Bad")</f>
        <v>Good</v>
      </c>
      <c r="K627" s="4">
        <v>92409</v>
      </c>
      <c r="L627" s="4">
        <f t="shared" si="18"/>
        <v>1108908</v>
      </c>
      <c r="M627" s="4" t="str" cm="1">
        <f t="array" ref="M627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27" s="2">
        <v>10.9</v>
      </c>
      <c r="O627" s="2" t="str" cm="1">
        <f t="array" ref="O627">_xlfn.IFS(Table1[[#This Row],[Distance to School (km)]]&gt;=5,"Far",Table1[[#This Row],[Distance to School (km)]]&lt;5,"Near")</f>
        <v>Far</v>
      </c>
      <c r="P627" s="5">
        <f t="shared" si="19"/>
        <v>0.26550000000000007</v>
      </c>
    </row>
    <row r="628" spans="1:16" ht="15" hidden="1" x14ac:dyDescent="0.25">
      <c r="A628" s="2" t="s">
        <v>633</v>
      </c>
      <c r="B628" s="2" t="s">
        <v>643</v>
      </c>
      <c r="C628" s="2" t="s">
        <v>692</v>
      </c>
      <c r="D628" s="2" t="s">
        <v>745</v>
      </c>
      <c r="E628" s="2">
        <v>15</v>
      </c>
      <c r="F628" s="2" t="str" cm="1">
        <f t="array" ref="F628">_xlfn.IFS(Table1[[#This Row],[Age]]&lt;=16,"15-16",Table1[[#This Row],[Age]]&lt;19,"17-18")</f>
        <v>15-16</v>
      </c>
      <c r="G628" s="2" t="s">
        <v>757</v>
      </c>
      <c r="H628" s="3">
        <v>0.66</v>
      </c>
      <c r="I628" s="3">
        <v>0.05</v>
      </c>
      <c r="J628" s="3" t="str" cm="1">
        <f t="array" ref="J628">_xlfn.IFS(Table1[[#This Row],[Overall Attendance]]&gt;=0.6,"Good",Table1[[#This Row],[Overall Attendance]]&lt;0.6,"Bad")</f>
        <v>Bad</v>
      </c>
      <c r="K628" s="4">
        <v>59782</v>
      </c>
      <c r="L628" s="4">
        <f t="shared" si="18"/>
        <v>717384</v>
      </c>
      <c r="M628" s="4" t="str" cm="1">
        <f t="array" ref="M628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28" s="2">
        <v>11.4</v>
      </c>
      <c r="O628" s="2" t="str" cm="1">
        <f t="array" ref="O628">_xlfn.IFS(Table1[[#This Row],[Distance to School (km)]]&gt;=5,"Far",Table1[[#This Row],[Distance to School (km)]]&lt;5,"Near")</f>
        <v>Far</v>
      </c>
      <c r="P628" s="5">
        <f t="shared" si="19"/>
        <v>0.64500000000000002</v>
      </c>
    </row>
    <row r="629" spans="1:16" ht="15" hidden="1" x14ac:dyDescent="0.25">
      <c r="A629" s="2" t="s">
        <v>634</v>
      </c>
      <c r="B629" s="2" t="s">
        <v>652</v>
      </c>
      <c r="C629" s="2" t="s">
        <v>656</v>
      </c>
      <c r="D629" s="2" t="s">
        <v>750</v>
      </c>
      <c r="E629" s="2">
        <v>16</v>
      </c>
      <c r="F629" s="2" t="str" cm="1">
        <f t="array" ref="F629">_xlfn.IFS(Table1[[#This Row],[Age]]&lt;=16,"15-16",Table1[[#This Row],[Age]]&lt;19,"17-18")</f>
        <v>15-16</v>
      </c>
      <c r="G629" s="2" t="s">
        <v>757</v>
      </c>
      <c r="H629" s="3">
        <v>0.27</v>
      </c>
      <c r="I629" s="3">
        <v>0.12</v>
      </c>
      <c r="J629" s="3" t="str" cm="1">
        <f t="array" ref="J629">_xlfn.IFS(Table1[[#This Row],[Overall Attendance]]&gt;=0.6,"Good",Table1[[#This Row],[Overall Attendance]]&lt;0.6,"Bad")</f>
        <v>Bad</v>
      </c>
      <c r="K629" s="4">
        <v>94146</v>
      </c>
      <c r="L629" s="4">
        <f t="shared" si="18"/>
        <v>1129752</v>
      </c>
      <c r="M629" s="4" t="str" cm="1">
        <f t="array" ref="M629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29" s="2">
        <v>8.6999999999999993</v>
      </c>
      <c r="O629" s="2" t="str" cm="1">
        <f t="array" ref="O629">_xlfn.IFS(Table1[[#This Row],[Distance to School (km)]]&gt;=5,"Far",Table1[[#This Row],[Distance to School (km)]]&lt;5,"Near")</f>
        <v>Far</v>
      </c>
      <c r="P629" s="5">
        <f t="shared" si="19"/>
        <v>0.80499999999999994</v>
      </c>
    </row>
    <row r="630" spans="1:16" ht="15" x14ac:dyDescent="0.25">
      <c r="A630" s="2" t="s">
        <v>635</v>
      </c>
      <c r="B630" s="2" t="s">
        <v>672</v>
      </c>
      <c r="C630" s="2" t="s">
        <v>705</v>
      </c>
      <c r="D630" s="2" t="s">
        <v>755</v>
      </c>
      <c r="E630" s="2">
        <v>18</v>
      </c>
      <c r="F630" s="2" t="str" cm="1">
        <f t="array" ref="F630">_xlfn.IFS(Table1[[#This Row],[Age]]&lt;=16,"15-16",Table1[[#This Row],[Age]]&lt;19,"17-18")</f>
        <v>17-18</v>
      </c>
      <c r="G630" s="2" t="s">
        <v>758</v>
      </c>
      <c r="H630" s="3">
        <v>0.34</v>
      </c>
      <c r="I630" s="3">
        <v>0.12</v>
      </c>
      <c r="J630" s="3" t="str" cm="1">
        <f t="array" ref="J630">_xlfn.IFS(Table1[[#This Row],[Overall Attendance]]&gt;=0.6,"Good",Table1[[#This Row],[Overall Attendance]]&lt;0.6,"Bad")</f>
        <v>Bad</v>
      </c>
      <c r="K630" s="4">
        <v>64128</v>
      </c>
      <c r="L630" s="4">
        <f t="shared" si="18"/>
        <v>769536</v>
      </c>
      <c r="M630" s="4" t="str" cm="1">
        <f t="array" ref="M630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30" s="2">
        <v>5.3</v>
      </c>
      <c r="O630" s="2" t="str" cm="1">
        <f t="array" ref="O630">_xlfn.IFS(Table1[[#This Row],[Distance to School (km)]]&gt;=5,"Far",Table1[[#This Row],[Distance to School (km)]]&lt;5,"Near")</f>
        <v>Far</v>
      </c>
      <c r="P630" s="5">
        <f t="shared" si="19"/>
        <v>0.77</v>
      </c>
    </row>
    <row r="631" spans="1:16" ht="15" x14ac:dyDescent="0.25">
      <c r="A631" s="2" t="s">
        <v>636</v>
      </c>
      <c r="B631" s="2" t="s">
        <v>683</v>
      </c>
      <c r="C631" s="2" t="s">
        <v>685</v>
      </c>
      <c r="D631" s="2" t="s">
        <v>741</v>
      </c>
      <c r="E631" s="2">
        <v>18</v>
      </c>
      <c r="F631" s="2" t="str" cm="1">
        <f t="array" ref="F631">_xlfn.IFS(Table1[[#This Row],[Age]]&lt;=16,"15-16",Table1[[#This Row],[Age]]&lt;19,"17-18")</f>
        <v>17-18</v>
      </c>
      <c r="G631" s="2" t="s">
        <v>757</v>
      </c>
      <c r="H631" s="3">
        <v>0.63200000000000001</v>
      </c>
      <c r="I631" s="3">
        <v>0.92900000000000005</v>
      </c>
      <c r="J631" s="3" t="str" cm="1">
        <f t="array" ref="J631">_xlfn.IFS(Table1[[#This Row],[Overall Attendance]]&gt;=0.6,"Good",Table1[[#This Row],[Overall Attendance]]&lt;0.6,"Bad")</f>
        <v>Good</v>
      </c>
      <c r="K631" s="4">
        <v>379377</v>
      </c>
      <c r="L631" s="4">
        <f t="shared" si="18"/>
        <v>4552524</v>
      </c>
      <c r="M631" s="4" t="str" cm="1">
        <f t="array" ref="M631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31" s="2">
        <v>1.5</v>
      </c>
      <c r="O631" s="2" t="str" cm="1">
        <f t="array" ref="O631">_xlfn.IFS(Table1[[#This Row],[Distance to School (km)]]&gt;=5,"Far",Table1[[#This Row],[Distance to School (km)]]&lt;5,"Near")</f>
        <v>Near</v>
      </c>
      <c r="P631" s="5">
        <f t="shared" si="19"/>
        <v>0.21950000000000003</v>
      </c>
    </row>
    <row r="632" spans="1:16" ht="15" hidden="1" x14ac:dyDescent="0.25">
      <c r="A632" s="2" t="s">
        <v>637</v>
      </c>
      <c r="B632" s="2" t="s">
        <v>667</v>
      </c>
      <c r="C632" s="2" t="s">
        <v>715</v>
      </c>
      <c r="D632" s="2" t="s">
        <v>646</v>
      </c>
      <c r="E632" s="2">
        <v>15</v>
      </c>
      <c r="F632" s="2" t="str" cm="1">
        <f t="array" ref="F632">_xlfn.IFS(Table1[[#This Row],[Age]]&lt;=16,"15-16",Table1[[#This Row],[Age]]&lt;19,"17-18")</f>
        <v>15-16</v>
      </c>
      <c r="G632" s="2" t="s">
        <v>757</v>
      </c>
      <c r="H632" s="3">
        <v>0.34</v>
      </c>
      <c r="I632" s="3">
        <v>0.45</v>
      </c>
      <c r="J632" s="3" t="str" cm="1">
        <f t="array" ref="J632">_xlfn.IFS(Table1[[#This Row],[Overall Attendance]]&gt;=0.6,"Good",Table1[[#This Row],[Overall Attendance]]&lt;0.6,"Bad")</f>
        <v>Bad</v>
      </c>
      <c r="K632" s="4">
        <v>155482</v>
      </c>
      <c r="L632" s="4">
        <f t="shared" si="18"/>
        <v>1865784</v>
      </c>
      <c r="M632" s="4" t="str" cm="1">
        <f t="array" ref="M632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32" s="2">
        <v>1.3</v>
      </c>
      <c r="O632" s="2" t="str" cm="1">
        <f t="array" ref="O632">_xlfn.IFS(Table1[[#This Row],[Distance to School (km)]]&gt;=5,"Far",Table1[[#This Row],[Distance to School (km)]]&lt;5,"Near")</f>
        <v>Near</v>
      </c>
      <c r="P632" s="5">
        <f t="shared" si="19"/>
        <v>0.60499999999999998</v>
      </c>
    </row>
    <row r="633" spans="1:16" ht="15" x14ac:dyDescent="0.25">
      <c r="A633" s="2" t="s">
        <v>638</v>
      </c>
      <c r="B633" s="2" t="s">
        <v>668</v>
      </c>
      <c r="C633" s="2" t="s">
        <v>735</v>
      </c>
      <c r="D633" s="2" t="s">
        <v>753</v>
      </c>
      <c r="E633" s="2">
        <v>18</v>
      </c>
      <c r="F633" s="2" t="str" cm="1">
        <f t="array" ref="F633">_xlfn.IFS(Table1[[#This Row],[Age]]&lt;=16,"15-16",Table1[[#This Row],[Age]]&lt;19,"17-18")</f>
        <v>17-18</v>
      </c>
      <c r="G633" s="2" t="s">
        <v>757</v>
      </c>
      <c r="H633" s="3">
        <v>0.35</v>
      </c>
      <c r="I633" s="3">
        <v>0.12</v>
      </c>
      <c r="J633" s="3" t="str" cm="1">
        <f t="array" ref="J633">_xlfn.IFS(Table1[[#This Row],[Overall Attendance]]&gt;=0.6,"Good",Table1[[#This Row],[Overall Attendance]]&lt;0.6,"Bad")</f>
        <v>Bad</v>
      </c>
      <c r="K633" s="4">
        <v>41980</v>
      </c>
      <c r="L633" s="4">
        <f t="shared" si="18"/>
        <v>503760</v>
      </c>
      <c r="M633" s="4" t="str" cm="1">
        <f t="array" ref="M633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33" s="2">
        <v>0.6</v>
      </c>
      <c r="O633" s="2" t="str" cm="1">
        <f t="array" ref="O633">_xlfn.IFS(Table1[[#This Row],[Distance to School (km)]]&gt;=5,"Far",Table1[[#This Row],[Distance to School (km)]]&lt;5,"Near")</f>
        <v>Near</v>
      </c>
      <c r="P633" s="5">
        <f t="shared" si="19"/>
        <v>0.76500000000000001</v>
      </c>
    </row>
    <row r="634" spans="1:16" ht="15" x14ac:dyDescent="0.25">
      <c r="A634" s="2" t="s">
        <v>639</v>
      </c>
      <c r="B634" s="2" t="s">
        <v>663</v>
      </c>
      <c r="C634" s="2" t="s">
        <v>691</v>
      </c>
      <c r="D634" s="2" t="s">
        <v>749</v>
      </c>
      <c r="E634" s="2">
        <v>17</v>
      </c>
      <c r="F634" s="2" t="str" cm="1">
        <f t="array" ref="F634">_xlfn.IFS(Table1[[#This Row],[Age]]&lt;=16,"15-16",Table1[[#This Row],[Age]]&lt;19,"17-18")</f>
        <v>17-18</v>
      </c>
      <c r="G634" s="2" t="s">
        <v>758</v>
      </c>
      <c r="H634" s="3">
        <v>0.55000000000000004</v>
      </c>
      <c r="I634" s="3">
        <v>0.14000000000000001</v>
      </c>
      <c r="J634" s="3" t="str" cm="1">
        <f t="array" ref="J634">_xlfn.IFS(Table1[[#This Row],[Overall Attendance]]&gt;=0.6,"Good",Table1[[#This Row],[Overall Attendance]]&lt;0.6,"Bad")</f>
        <v>Bad</v>
      </c>
      <c r="K634" s="4">
        <v>88043</v>
      </c>
      <c r="L634" s="4">
        <f t="shared" si="18"/>
        <v>1056516</v>
      </c>
      <c r="M634" s="4" t="str" cm="1">
        <f t="array" ref="M634">_xlfn.IFS(Table1[[#This Row],[Family Income per Year]]&gt;=5000000,"High Income",Table1[[#This Row],[Family Income per Year]]&gt;=1000000,"Middle Income",Table1[[#This Row],[Family Income per Year]]&lt;1000000,"Low Income")</f>
        <v>Middle Income</v>
      </c>
      <c r="N634" s="2">
        <v>6.3</v>
      </c>
      <c r="O634" s="2" t="str" cm="1">
        <f t="array" ref="O634">_xlfn.IFS(Table1[[#This Row],[Distance to School (km)]]&gt;=5,"Far",Table1[[#This Row],[Distance to School (km)]]&lt;5,"Near")</f>
        <v>Far</v>
      </c>
      <c r="P634" s="5">
        <f t="shared" si="19"/>
        <v>0.65500000000000003</v>
      </c>
    </row>
    <row r="635" spans="1:16" ht="15" x14ac:dyDescent="0.25">
      <c r="A635" s="2" t="s">
        <v>640</v>
      </c>
      <c r="B635" s="2" t="s">
        <v>670</v>
      </c>
      <c r="C635" s="2" t="s">
        <v>706</v>
      </c>
      <c r="D635" s="2" t="s">
        <v>754</v>
      </c>
      <c r="E635" s="2">
        <v>17</v>
      </c>
      <c r="F635" s="2" t="str" cm="1">
        <f t="array" ref="F635">_xlfn.IFS(Table1[[#This Row],[Age]]&lt;=16,"15-16",Table1[[#This Row],[Age]]&lt;19,"17-18")</f>
        <v>17-18</v>
      </c>
      <c r="G635" s="2" t="s">
        <v>758</v>
      </c>
      <c r="H635" s="3">
        <v>0.58799999999999997</v>
      </c>
      <c r="I635" s="3">
        <v>0.31</v>
      </c>
      <c r="J635" s="3" t="str" cm="1">
        <f t="array" ref="J635">_xlfn.IFS(Table1[[#This Row],[Overall Attendance]]&gt;=0.6,"Good",Table1[[#This Row],[Overall Attendance]]&lt;0.6,"Bad")</f>
        <v>Bad</v>
      </c>
      <c r="K635" s="4">
        <v>57658</v>
      </c>
      <c r="L635" s="4">
        <f t="shared" si="18"/>
        <v>691896</v>
      </c>
      <c r="M635" s="4" t="str" cm="1">
        <f t="array" ref="M635">_xlfn.IFS(Table1[[#This Row],[Family Income per Year]]&gt;=5000000,"High Income",Table1[[#This Row],[Family Income per Year]]&gt;=1000000,"Middle Income",Table1[[#This Row],[Family Income per Year]]&lt;1000000,"Low Income")</f>
        <v>Low Income</v>
      </c>
      <c r="N635" s="2">
        <v>6.2</v>
      </c>
      <c r="O635" s="2" t="str" cm="1">
        <f t="array" ref="O635">_xlfn.IFS(Table1[[#This Row],[Distance to School (km)]]&gt;=5,"Far",Table1[[#This Row],[Distance to School (km)]]&lt;5,"Near")</f>
        <v>Far</v>
      </c>
      <c r="P635" s="5">
        <f t="shared" si="19"/>
        <v>0.55100000000000005</v>
      </c>
    </row>
  </sheetData>
  <pageMargins left="0.7" right="0.7" top="0.75" bottom="0.75" header="0.3" footer="0.3"/>
  <pageSetup orientation="portrait" verticalDpi="0" r:id="rId1"/>
  <ignoredErrors>
    <ignoredError sqref="P2 P4:P635" formulaRange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YORMIDE</dc:creator>
  <cp:lastModifiedBy>JAYNE</cp:lastModifiedBy>
  <dcterms:created xsi:type="dcterms:W3CDTF">2025-12-16T14:19:01Z</dcterms:created>
  <dcterms:modified xsi:type="dcterms:W3CDTF">2026-01-04T20:57:50Z</dcterms:modified>
</cp:coreProperties>
</file>